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13_ncr:1_{010F1758-6649-453A-9D68-54B97A52F713}" xr6:coauthVersionLast="47" xr6:coauthVersionMax="47" xr10:uidLastSave="{00000000-0000-0000-0000-000000000000}"/>
  <bookViews>
    <workbookView xWindow="-108" yWindow="-108" windowWidth="23256" windowHeight="12456" firstSheet="1" activeTab="2" xr2:uid="{90920DAF-B957-4FA0-B248-5BD96FD73538}"/>
  </bookViews>
  <sheets>
    <sheet name="Sheet3" sheetId="3" state="hidden" r:id="rId1"/>
    <sheet name="Sheet2" sheetId="2" r:id="rId2"/>
    <sheet name="Sheet4" sheetId="5" r:id="rId3"/>
  </sheets>
  <definedNames>
    <definedName name="_xlchart.v1.0" hidden="1">Sheet2!$B$43:$B$44</definedName>
    <definedName name="_xlchart.v1.1" hidden="1">Sheet2!$B$43:$B$47</definedName>
    <definedName name="_xlchart.v1.10" hidden="1">Sheet2!$C$43:$C$47</definedName>
    <definedName name="_xlchart.v1.11" hidden="1">Sheet2!$E$42:$E$46</definedName>
    <definedName name="_xlchart.v1.2" hidden="1">Sheet2!$B$43:$B$48</definedName>
    <definedName name="_xlchart.v1.3" hidden="1">Sheet2!$C$43:$C$47</definedName>
    <definedName name="_xlchart.v1.4" hidden="1">Sheet2!$C$43:$C$48</definedName>
    <definedName name="_xlchart.v1.5" hidden="1">Sheet2!$E$42:$E$46</definedName>
    <definedName name="_xlchart.v1.6" hidden="1">Sheet2!$F$42:$F$46</definedName>
    <definedName name="_xlchart.v1.7" hidden="1">Sheet2!$E$42:$E$46</definedName>
    <definedName name="_xlchart.v1.8" hidden="1">Sheet2!$F$42:$F$46</definedName>
    <definedName name="_xlchart.v1.9" hidden="1">Sheet2!$B$43:$B$47</definedName>
    <definedName name="ExternalData_1" localSheetId="0" hidden="1">Sheet3!$A$3:$E$205</definedName>
    <definedName name="Timeline_Date">#N/A</definedName>
  </definedNames>
  <calcPr calcId="181029"/>
  <pivotCaches>
    <pivotCache cacheId="1230" r:id="rId4"/>
    <pivotCache cacheId="1233" r:id="rId5"/>
    <pivotCache cacheId="1236" r:id="rId6"/>
    <pivotCache cacheId="1239" r:id="rId7"/>
    <pivotCache cacheId="1242" r:id="rId8"/>
    <pivotCache cacheId="1245" r:id="rId9"/>
    <pivotCache cacheId="1248" r:id="rId10"/>
    <pivotCache cacheId="1251" r:id="rId11"/>
    <pivotCache cacheId="1254" r:id="rId12"/>
    <pivotCache cacheId="1257" r:id="rId13"/>
    <pivotCache cacheId="1260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5" r:id="rId15"/>
      </x15:timelineCachePivotCaches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okie Types_a62d1ab2-7bd0-4448-bdac-fde6e52b30d5" name="Cookie Types" connection="Excel Cookie Types"/>
          <x15:modelTable id="Customers_77191525-687f-40d0-bca9-94c0798a56a5" name="Customers" connection="Excel Customers"/>
          <x15:modelTable id="Orders_f59238ae-4090-4c83-a59f-f6dbb8a2f680" name="Orders" connection="Excel Orders"/>
        </x15:modelTables>
        <x15:modelRelationships>
          <x15:modelRelationship fromTable="Orders" fromColumn="Customer ID" toTable="Customers" toColumn="Customer ID"/>
          <x15:modelRelationship fromTable="Orders" fromColumn="Product" toTable="Cookie Types" toColumn="Cookie Type"/>
        </x15:modelRelationships>
      </x15:dataModel>
    </ext>
  </extLst>
</workbook>
</file>

<file path=xl/calcChain.xml><?xml version="1.0" encoding="utf-8"?>
<calcChain xmlns="http://schemas.openxmlformats.org/spreadsheetml/2006/main">
  <c r="G4" i="2" l="1"/>
  <c r="E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FDF27B-1403-4BA9-B992-89C11EA35339}" name="Excel Cookie Types" type="100" refreshedVersion="0">
    <extLst>
      <ext xmlns:x15="http://schemas.microsoft.com/office/spreadsheetml/2010/11/main" uri="{DE250136-89BD-433C-8126-D09CA5730AF9}">
        <x15:connection id="14ff11c7-1455-486d-aa3e-cec2aa2f846d"/>
      </ext>
    </extLst>
  </connection>
  <connection id="2" xr16:uid="{F261FC73-37E5-41F0-B742-11D026C6D59B}" name="Excel Customers" type="100" refreshedVersion="0">
    <extLst>
      <ext xmlns:x15="http://schemas.microsoft.com/office/spreadsheetml/2010/11/main" uri="{DE250136-89BD-433C-8126-D09CA5730AF9}">
        <x15:connection id="a5811390-cc80-4351-a763-441c17af7046"/>
      </ext>
    </extLst>
  </connection>
  <connection id="3" xr16:uid="{ED5B08C1-FC10-422B-B90E-19FE208443A0}" name="Excel Orders" type="100" refreshedVersion="0">
    <extLst>
      <ext xmlns:x15="http://schemas.microsoft.com/office/spreadsheetml/2010/11/main" uri="{DE250136-89BD-433C-8126-D09CA5730AF9}">
        <x15:connection id="cf9c5b00-7558-4859-a304-6050ad85a265"/>
      </ext>
    </extLst>
  </connection>
  <connection id="4" xr16:uid="{C26361E4-76C2-4339-B999-4B833B94D801}" keepAlive="1" name="ModelConnection_ExternalData_1" description="Data Model" type="5" refreshedVersion="8" minRefreshableVersion="5" saveData="1">
    <dbPr connection="Data Model Connection" command="DRILLTHROUGH MAXROWS 1000 SELECT FROM [Model] WHERE (([Measures].[Total Of Unit Sold],[Cookie Types].[Cookie Type].&amp;[Chocolate Chip])) RETURN [$Orders].[Customer ID],[$Orders].[Order ID],[$Orders].[Product],[$Orders].[Units Sold],[$Orders].[Date]" commandType="4"/>
    <extLst>
      <ext xmlns:x15="http://schemas.microsoft.com/office/spreadsheetml/2010/11/main" uri="{DE250136-89BD-433C-8126-D09CA5730AF9}">
        <x15:connection id="" model="1"/>
      </ext>
    </extLst>
  </connection>
  <connection id="5" xr16:uid="{686A0673-4329-436B-B19C-7D6457908DD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<sst xmlns="http://schemas.openxmlformats.org/spreadsheetml/2006/main" count="285" uniqueCount="23">
  <si>
    <t>Total Of Revenue</t>
  </si>
  <si>
    <t>Total Of Order</t>
  </si>
  <si>
    <t>Total Of Unit Sold</t>
  </si>
  <si>
    <t>Row Labels</t>
  </si>
  <si>
    <t>Green Bay</t>
  </si>
  <si>
    <t>Huntington</t>
  </si>
  <si>
    <t>Mobile</t>
  </si>
  <si>
    <t>Salt Lake City</t>
  </si>
  <si>
    <t>Seattle</t>
  </si>
  <si>
    <t>Grand Total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</si>
  <si>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</si>
  <si>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</si>
  <si>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</si>
  <si>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</si>
  <si>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</si>
  <si>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</si>
  <si>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Count of Customer ID</t>
  </si>
  <si>
    <t>Orders[Customer ID]</t>
  </si>
  <si>
    <t>Orders[Order ID]</t>
  </si>
  <si>
    <t>Orders[Product]</t>
  </si>
  <si>
    <t>Orders[Units Sold]</t>
  </si>
  <si>
    <t>Orders[Date]</t>
  </si>
  <si>
    <t>Data returned for Total Of Unit Sold, Chocolate Chip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</si>
</sst>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mruColors>
      <color rgb="FF06D8F4"/>
      <color rgb="FF65E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7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Order Of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Sheet2!$B$9:$B$14</c:f>
              <c:strCache>
                <c:ptCount val="5"/>
                <c:pt idx="0">
                  <c:v>Green Bay</c:v>
                </c:pt>
                <c:pt idx="1">
                  <c:v>Huntington</c:v>
                </c:pt>
                <c:pt idx="2">
                  <c:v>Salt Lake City</c:v>
                </c:pt>
                <c:pt idx="3">
                  <c:v>Mobile</c:v>
                </c:pt>
                <c:pt idx="4">
                  <c:v>Seattle</c:v>
                </c:pt>
              </c:strCache>
            </c:strRef>
          </c:cat>
          <c:val>
            <c:numRef>
              <c:f>Sheet2!$C$9:$C$14</c:f>
              <c:numCache>
                <c:formatCode>General</c:formatCode>
                <c:ptCount val="5"/>
                <c:pt idx="0">
                  <c:v>25935855</c:v>
                </c:pt>
                <c:pt idx="1">
                  <c:v>12006986</c:v>
                </c:pt>
                <c:pt idx="2">
                  <c:v>10525286</c:v>
                </c:pt>
                <c:pt idx="3">
                  <c:v>10126577</c:v>
                </c:pt>
                <c:pt idx="4">
                  <c:v>9400093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4-4947-A8EE-79192A8FC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915855"/>
        <c:axId val="1416901455"/>
      </c:barChart>
      <c:catAx>
        <c:axId val="14169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01455"/>
        <c:crosses val="autoZero"/>
        <c:auto val="1"/>
        <c:lblAlgn val="ctr"/>
        <c:lblOffset val="100"/>
        <c:noMultiLvlLbl val="0"/>
      </c:catAx>
      <c:valAx>
        <c:axId val="14169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1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</a:t>
            </a:r>
            <a:r>
              <a:rPr lang="en-US" baseline="0"/>
              <a:t> by cookie type</a:t>
            </a:r>
            <a:endParaRPr lang="en-US"/>
          </a:p>
        </c:rich>
      </c:tx>
      <c:layout>
        <c:manualLayout>
          <c:xMode val="edge"/>
          <c:yMode val="edge"/>
          <c:x val="0.25777014359691525"/>
          <c:y val="8.192004845548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Sheet2!$B$20:$B$26</c:f>
              <c:strCache>
                <c:ptCount val="6"/>
                <c:pt idx="0">
                  <c:v>Fortune Cookie</c:v>
                </c:pt>
                <c:pt idx="1">
                  <c:v>Oatmeal Raisin</c:v>
                </c:pt>
                <c:pt idx="2">
                  <c:v>Snickerdoodle</c:v>
                </c:pt>
                <c:pt idx="3">
                  <c:v>White Chocolate Macadamia Nut</c:v>
                </c:pt>
                <c:pt idx="4">
                  <c:v>Sugar</c:v>
                </c:pt>
                <c:pt idx="5">
                  <c:v>Chocolate Chip</c:v>
                </c:pt>
              </c:strCache>
            </c:strRef>
          </c:cat>
          <c:val>
            <c:numRef>
              <c:f>Sheet2!$C$20:$C$26</c:f>
              <c:numCache>
                <c:formatCode>General</c:formatCode>
                <c:ptCount val="6"/>
                <c:pt idx="0">
                  <c:v>7334922</c:v>
                </c:pt>
                <c:pt idx="1">
                  <c:v>9583469</c:v>
                </c:pt>
                <c:pt idx="2">
                  <c:v>10113555</c:v>
                </c:pt>
                <c:pt idx="3">
                  <c:v>10831956</c:v>
                </c:pt>
                <c:pt idx="4">
                  <c:v>10902851</c:v>
                </c:pt>
                <c:pt idx="5">
                  <c:v>19228044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7-47DD-9FF3-F90497EC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880815"/>
        <c:axId val="1416870255"/>
      </c:barChart>
      <c:catAx>
        <c:axId val="141688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70255"/>
        <c:crosses val="autoZero"/>
        <c:auto val="1"/>
        <c:lblAlgn val="ctr"/>
        <c:lblOffset val="100"/>
        <c:noMultiLvlLbl val="0"/>
      </c:catAx>
      <c:valAx>
        <c:axId val="14168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</a:t>
            </a:r>
            <a:r>
              <a:rPr lang="en-US" baseline="0"/>
              <a:t> by broduct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Sheet2!$B$31:$B$37</c:f>
              <c:strCache>
                <c:ptCount val="6"/>
                <c:pt idx="0">
                  <c:v>White Chocolate Macadamia Nut</c:v>
                </c:pt>
                <c:pt idx="1">
                  <c:v>Sugar</c:v>
                </c:pt>
                <c:pt idx="2">
                  <c:v>Snickerdoodle</c:v>
                </c:pt>
                <c:pt idx="3">
                  <c:v>Oatmeal Raisin</c:v>
                </c:pt>
                <c:pt idx="4">
                  <c:v>Fortune Cookie</c:v>
                </c:pt>
                <c:pt idx="5">
                  <c:v>Chocolate Chip</c:v>
                </c:pt>
              </c:strCache>
            </c:strRef>
          </c:cat>
          <c:val>
            <c:numRef>
              <c:f>Sheet2!$C$31:$C$37</c:f>
              <c:numCache>
                <c:formatCode>General</c:formatCode>
                <c:ptCount val="6"/>
                <c:pt idx="0">
                  <c:v>10831956</c:v>
                </c:pt>
                <c:pt idx="1">
                  <c:v>10902851</c:v>
                </c:pt>
                <c:pt idx="2">
                  <c:v>10113555</c:v>
                </c:pt>
                <c:pt idx="3">
                  <c:v>9583469</c:v>
                </c:pt>
                <c:pt idx="4">
                  <c:v>7334922</c:v>
                </c:pt>
                <c:pt idx="5">
                  <c:v>19228044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45-4A3E-BBA9-8BA6ACC02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929775"/>
        <c:axId val="1416930255"/>
      </c:barChart>
      <c:catAx>
        <c:axId val="14169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30255"/>
        <c:crosses val="autoZero"/>
        <c:auto val="1"/>
        <c:lblAlgn val="ctr"/>
        <c:lblOffset val="100"/>
        <c:noMultiLvlLbl val="0"/>
      </c:catAx>
      <c:valAx>
        <c:axId val="14169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cutomer by</a:t>
            </a:r>
            <a:r>
              <a:rPr lang="en-US" baseline="0"/>
              <a:t> cookie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Sheet2!$B$53:$B$59</c:f>
              <c:strCache>
                <c:ptCount val="6"/>
                <c:pt idx="0">
                  <c:v>Oatmeal Raisin</c:v>
                </c:pt>
                <c:pt idx="1">
                  <c:v>Snickerdoodle</c:v>
                </c:pt>
                <c:pt idx="2">
                  <c:v>Fortune Cookie</c:v>
                </c:pt>
                <c:pt idx="3">
                  <c:v>Sugar</c:v>
                </c:pt>
                <c:pt idx="4">
                  <c:v>White Chocolate Macadamia Nut</c:v>
                </c:pt>
                <c:pt idx="5">
                  <c:v>Chocolate Chip</c:v>
                </c:pt>
              </c:strCache>
            </c:strRef>
          </c:cat>
          <c:val>
            <c:numRef>
              <c:f>Sheet2!$C$53:$C$59</c:f>
              <c:numCache>
                <c:formatCode>General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22</c:v>
                </c:pt>
                <c:pt idx="4">
                  <c:v>22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3A-4F5C-9779-C01AF6243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339231"/>
        <c:axId val="1823338751"/>
      </c:barChart>
      <c:catAx>
        <c:axId val="182333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38751"/>
        <c:crosses val="autoZero"/>
        <c:auto val="1"/>
        <c:lblAlgn val="ctr"/>
        <c:lblOffset val="100"/>
        <c:noMultiLvlLbl val="0"/>
      </c:catAx>
      <c:valAx>
        <c:axId val="18233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</a:t>
            </a:r>
            <a:r>
              <a:rPr lang="en-US" baseline="0"/>
              <a:t> unit sold by cookie type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9405547279563032"/>
          <c:y val="5.181347150259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Sheet2!$B$67:$B$73</c:f>
              <c:strCache>
                <c:ptCount val="6"/>
                <c:pt idx="0">
                  <c:v>Chocolate Chip</c:v>
                </c:pt>
                <c:pt idx="1">
                  <c:v>Fortune Cookie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White Chocolate Macadamia Nut</c:v>
                </c:pt>
              </c:strCache>
            </c:strRef>
          </c:cat>
          <c:val>
            <c:numRef>
              <c:f>Sheet2!$C$67:$C$73</c:f>
              <c:numCache>
                <c:formatCode>General</c:formatCode>
                <c:ptCount val="6"/>
                <c:pt idx="0">
                  <c:v>64668</c:v>
                </c:pt>
                <c:pt idx="1">
                  <c:v>32424.5</c:v>
                </c:pt>
                <c:pt idx="2">
                  <c:v>34989</c:v>
                </c:pt>
                <c:pt idx="3">
                  <c:v>33445.5</c:v>
                </c:pt>
                <c:pt idx="4">
                  <c:v>33006</c:v>
                </c:pt>
                <c:pt idx="5">
                  <c:v>35426.5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69-4305-BA6E-D52807666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449183"/>
        <c:axId val="649443903"/>
      </c:barChart>
      <c:catAx>
        <c:axId val="6494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43903"/>
        <c:crosses val="autoZero"/>
        <c:auto val="1"/>
        <c:lblAlgn val="ctr"/>
        <c:lblOffset val="100"/>
        <c:noMultiLvlLbl val="0"/>
      </c:catAx>
      <c:valAx>
        <c:axId val="6494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4.xlsx]Sheet2!PivotTable10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</a:t>
            </a:r>
            <a:r>
              <a:rPr lang="en-US" baseline="0"/>
              <a:t> Unit Sold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Sheet2!$B$79:$B$84</c:f>
              <c:strCache>
                <c:ptCount val="5"/>
                <c:pt idx="0">
                  <c:v>Green Bay</c:v>
                </c:pt>
                <c:pt idx="1">
                  <c:v>Huntington</c:v>
                </c:pt>
                <c:pt idx="2">
                  <c:v>Salt Lake City</c:v>
                </c:pt>
                <c:pt idx="3">
                  <c:v>Mobile</c:v>
                </c:pt>
                <c:pt idx="4">
                  <c:v>Seattle</c:v>
                </c:pt>
              </c:strCache>
            </c:strRef>
          </c:cat>
          <c:val>
            <c:numRef>
              <c:f>Sheet2!$C$79:$C$84</c:f>
              <c:numCache>
                <c:formatCode>General</c:formatCode>
                <c:ptCount val="5"/>
                <c:pt idx="0">
                  <c:v>81873.5</c:v>
                </c:pt>
                <c:pt idx="1">
                  <c:v>48461.5</c:v>
                </c:pt>
                <c:pt idx="2">
                  <c:v>46828</c:v>
                </c:pt>
                <c:pt idx="3">
                  <c:v>29309.5</c:v>
                </c:pt>
                <c:pt idx="4">
                  <c:v>27487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C-4CF5-BE6C-9CE4C2B6A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440575"/>
        <c:axId val="1972434335"/>
      </c:barChart>
      <c:catAx>
        <c:axId val="19724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34335"/>
        <c:crosses val="autoZero"/>
        <c:auto val="1"/>
        <c:lblAlgn val="ctr"/>
        <c:lblOffset val="100"/>
        <c:noMultiLvlLbl val="0"/>
      </c:catAx>
      <c:valAx>
        <c:axId val="19724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4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of customer by cookie type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3653455818022748"/>
          <c:y val="7.1895431774171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Sheet2!$B$93:$B$99</c:f>
              <c:strCache>
                <c:ptCount val="6"/>
                <c:pt idx="0">
                  <c:v>White Chocolate Macadamia Nut</c:v>
                </c:pt>
                <c:pt idx="1">
                  <c:v>Sugar</c:v>
                </c:pt>
                <c:pt idx="2">
                  <c:v>Snickerdoodle</c:v>
                </c:pt>
                <c:pt idx="3">
                  <c:v>Oatmeal Raisin</c:v>
                </c:pt>
                <c:pt idx="4">
                  <c:v>Fortune Cookie</c:v>
                </c:pt>
                <c:pt idx="5">
                  <c:v>Chocolate Chip</c:v>
                </c:pt>
              </c:strCache>
            </c:strRef>
          </c:cat>
          <c:val>
            <c:numRef>
              <c:f>Sheet2!$C$93:$C$99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19</c:v>
                </c:pt>
                <c:pt idx="3">
                  <c:v>18</c:v>
                </c:pt>
                <c:pt idx="4">
                  <c:v>19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CC-4A21-8607-D57CA5163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325503"/>
        <c:axId val="843325023"/>
      </c:barChart>
      <c:catAx>
        <c:axId val="84332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25023"/>
        <c:crosses val="autoZero"/>
        <c:auto val="1"/>
        <c:lblAlgn val="ctr"/>
        <c:lblOffset val="100"/>
        <c:noMultiLvlLbl val="0"/>
      </c:catAx>
      <c:valAx>
        <c:axId val="84332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2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cutomer by</a:t>
            </a:r>
            <a:r>
              <a:rPr lang="en-US" baseline="0"/>
              <a:t> cookie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Sheet2!$B$53:$B$59</c:f>
              <c:strCache>
                <c:ptCount val="6"/>
                <c:pt idx="0">
                  <c:v>Oatmeal Raisin</c:v>
                </c:pt>
                <c:pt idx="1">
                  <c:v>Snickerdoodle</c:v>
                </c:pt>
                <c:pt idx="2">
                  <c:v>Fortune Cookie</c:v>
                </c:pt>
                <c:pt idx="3">
                  <c:v>Sugar</c:v>
                </c:pt>
                <c:pt idx="4">
                  <c:v>White Chocolate Macadamia Nut</c:v>
                </c:pt>
                <c:pt idx="5">
                  <c:v>Chocolate Chip</c:v>
                </c:pt>
              </c:strCache>
            </c:strRef>
          </c:cat>
          <c:val>
            <c:numRef>
              <c:f>Sheet2!$C$53:$C$59</c:f>
              <c:numCache>
                <c:formatCode>General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22</c:v>
                </c:pt>
                <c:pt idx="4">
                  <c:v>22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3-4AE1-90AC-8EF0DC690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339231"/>
        <c:axId val="1823338751"/>
      </c:barChart>
      <c:catAx>
        <c:axId val="182333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38751"/>
        <c:crosses val="autoZero"/>
        <c:auto val="1"/>
        <c:lblAlgn val="ctr"/>
        <c:lblOffset val="100"/>
        <c:noMultiLvlLbl val="0"/>
      </c:catAx>
      <c:valAx>
        <c:axId val="18233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</a:t>
            </a:r>
            <a:r>
              <a:rPr lang="en-US" baseline="0"/>
              <a:t> unit sold by cookie type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9405547279563032"/>
          <c:y val="5.181347150259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Sheet2!$B$67:$B$73</c:f>
              <c:strCache>
                <c:ptCount val="6"/>
                <c:pt idx="0">
                  <c:v>Chocolate Chip</c:v>
                </c:pt>
                <c:pt idx="1">
                  <c:v>Fortune Cookie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White Chocolate Macadamia Nut</c:v>
                </c:pt>
              </c:strCache>
            </c:strRef>
          </c:cat>
          <c:val>
            <c:numRef>
              <c:f>Sheet2!$C$67:$C$73</c:f>
              <c:numCache>
                <c:formatCode>General</c:formatCode>
                <c:ptCount val="6"/>
                <c:pt idx="0">
                  <c:v>64668</c:v>
                </c:pt>
                <c:pt idx="1">
                  <c:v>32424.5</c:v>
                </c:pt>
                <c:pt idx="2">
                  <c:v>34989</c:v>
                </c:pt>
                <c:pt idx="3">
                  <c:v>33445.5</c:v>
                </c:pt>
                <c:pt idx="4">
                  <c:v>33006</c:v>
                </c:pt>
                <c:pt idx="5">
                  <c:v>35426.5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A8-4CC8-9E06-92B1363E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449183"/>
        <c:axId val="649443903"/>
      </c:barChart>
      <c:catAx>
        <c:axId val="6494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43903"/>
        <c:crosses val="autoZero"/>
        <c:auto val="1"/>
        <c:lblAlgn val="ctr"/>
        <c:lblOffset val="100"/>
        <c:noMultiLvlLbl val="0"/>
      </c:catAx>
      <c:valAx>
        <c:axId val="6494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</a:t>
            </a:r>
            <a:r>
              <a:rPr lang="en-US" baseline="0"/>
              <a:t> by broduct </a:t>
            </a:r>
            <a:endParaRPr lang="en-US"/>
          </a:p>
        </c:rich>
      </c:tx>
      <c:layout>
        <c:manualLayout>
          <c:xMode val="edge"/>
          <c:yMode val="edge"/>
          <c:x val="0.28220736461196794"/>
          <c:y val="4.1841004184100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Sheet2!$B$31:$B$37</c:f>
              <c:strCache>
                <c:ptCount val="6"/>
                <c:pt idx="0">
                  <c:v>White Chocolate Macadamia Nut</c:v>
                </c:pt>
                <c:pt idx="1">
                  <c:v>Sugar</c:v>
                </c:pt>
                <c:pt idx="2">
                  <c:v>Snickerdoodle</c:v>
                </c:pt>
                <c:pt idx="3">
                  <c:v>Oatmeal Raisin</c:v>
                </c:pt>
                <c:pt idx="4">
                  <c:v>Fortune Cookie</c:v>
                </c:pt>
                <c:pt idx="5">
                  <c:v>Chocolate Chip</c:v>
                </c:pt>
              </c:strCache>
            </c:strRef>
          </c:cat>
          <c:val>
            <c:numRef>
              <c:f>Sheet2!$C$31:$C$37</c:f>
              <c:numCache>
                <c:formatCode>General</c:formatCode>
                <c:ptCount val="6"/>
                <c:pt idx="0">
                  <c:v>10831956</c:v>
                </c:pt>
                <c:pt idx="1">
                  <c:v>10902851</c:v>
                </c:pt>
                <c:pt idx="2">
                  <c:v>10113555</c:v>
                </c:pt>
                <c:pt idx="3">
                  <c:v>9583469</c:v>
                </c:pt>
                <c:pt idx="4">
                  <c:v>7334922</c:v>
                </c:pt>
                <c:pt idx="5">
                  <c:v>19228044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33-47A5-95AD-BACCDBA8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929775"/>
        <c:axId val="1416930255"/>
      </c:barChart>
      <c:catAx>
        <c:axId val="14169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30255"/>
        <c:crosses val="autoZero"/>
        <c:auto val="1"/>
        <c:lblAlgn val="ctr"/>
        <c:lblOffset val="100"/>
        <c:noMultiLvlLbl val="0"/>
      </c:catAx>
      <c:valAx>
        <c:axId val="14169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2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Order Of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Sheet2!$B$9:$B$14</c:f>
              <c:strCache>
                <c:ptCount val="5"/>
                <c:pt idx="0">
                  <c:v>Green Bay</c:v>
                </c:pt>
                <c:pt idx="1">
                  <c:v>Huntington</c:v>
                </c:pt>
                <c:pt idx="2">
                  <c:v>Salt Lake City</c:v>
                </c:pt>
                <c:pt idx="3">
                  <c:v>Mobile</c:v>
                </c:pt>
                <c:pt idx="4">
                  <c:v>Seattle</c:v>
                </c:pt>
              </c:strCache>
            </c:strRef>
          </c:cat>
          <c:val>
            <c:numRef>
              <c:f>Sheet2!$C$9:$C$14</c:f>
              <c:numCache>
                <c:formatCode>General</c:formatCode>
                <c:ptCount val="5"/>
                <c:pt idx="0">
                  <c:v>25935855</c:v>
                </c:pt>
                <c:pt idx="1">
                  <c:v>12006986</c:v>
                </c:pt>
                <c:pt idx="2">
                  <c:v>10525286</c:v>
                </c:pt>
                <c:pt idx="3">
                  <c:v>10126577</c:v>
                </c:pt>
                <c:pt idx="4">
                  <c:v>9400093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4C-4EB2-B07B-3C2A8818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915855"/>
        <c:axId val="1416901455"/>
      </c:barChart>
      <c:catAx>
        <c:axId val="14169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01455"/>
        <c:crosses val="autoZero"/>
        <c:auto val="1"/>
        <c:lblAlgn val="ctr"/>
        <c:lblOffset val="100"/>
        <c:noMultiLvlLbl val="0"/>
      </c:catAx>
      <c:valAx>
        <c:axId val="14169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1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</a:t>
            </a:r>
            <a:r>
              <a:rPr lang="en-US" baseline="0"/>
              <a:t> by cookie type</a:t>
            </a:r>
            <a:endParaRPr lang="en-US"/>
          </a:p>
        </c:rich>
      </c:tx>
      <c:layout>
        <c:manualLayout>
          <c:xMode val="edge"/>
          <c:yMode val="edge"/>
          <c:x val="0.25777014359691525"/>
          <c:y val="8.192004845548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Sheet2!$B$20:$B$26</c:f>
              <c:strCache>
                <c:ptCount val="6"/>
                <c:pt idx="0">
                  <c:v>Fortune Cookie</c:v>
                </c:pt>
                <c:pt idx="1">
                  <c:v>Oatmeal Raisin</c:v>
                </c:pt>
                <c:pt idx="2">
                  <c:v>Snickerdoodle</c:v>
                </c:pt>
                <c:pt idx="3">
                  <c:v>White Chocolate Macadamia Nut</c:v>
                </c:pt>
                <c:pt idx="4">
                  <c:v>Sugar</c:v>
                </c:pt>
                <c:pt idx="5">
                  <c:v>Chocolate Chip</c:v>
                </c:pt>
              </c:strCache>
            </c:strRef>
          </c:cat>
          <c:val>
            <c:numRef>
              <c:f>Sheet2!$C$20:$C$26</c:f>
              <c:numCache>
                <c:formatCode>General</c:formatCode>
                <c:ptCount val="6"/>
                <c:pt idx="0">
                  <c:v>7334922</c:v>
                </c:pt>
                <c:pt idx="1">
                  <c:v>9583469</c:v>
                </c:pt>
                <c:pt idx="2">
                  <c:v>10113555</c:v>
                </c:pt>
                <c:pt idx="3">
                  <c:v>10831956</c:v>
                </c:pt>
                <c:pt idx="4">
                  <c:v>10902851</c:v>
                </c:pt>
                <c:pt idx="5">
                  <c:v>19228044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1-4FC9-A18B-F65B40B9C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880815"/>
        <c:axId val="1416870255"/>
      </c:barChart>
      <c:catAx>
        <c:axId val="141688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70255"/>
        <c:crosses val="autoZero"/>
        <c:auto val="1"/>
        <c:lblAlgn val="ctr"/>
        <c:lblOffset val="100"/>
        <c:noMultiLvlLbl val="0"/>
      </c:catAx>
      <c:valAx>
        <c:axId val="14168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</a:t>
            </a:r>
            <a:r>
              <a:rPr lang="en-US" baseline="0"/>
              <a:t> Unit Sold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Sheet2!$B$79:$B$84</c:f>
              <c:strCache>
                <c:ptCount val="5"/>
                <c:pt idx="0">
                  <c:v>Green Bay</c:v>
                </c:pt>
                <c:pt idx="1">
                  <c:v>Huntington</c:v>
                </c:pt>
                <c:pt idx="2">
                  <c:v>Salt Lake City</c:v>
                </c:pt>
                <c:pt idx="3">
                  <c:v>Mobile</c:v>
                </c:pt>
                <c:pt idx="4">
                  <c:v>Seattle</c:v>
                </c:pt>
              </c:strCache>
            </c:strRef>
          </c:cat>
          <c:val>
            <c:numRef>
              <c:f>Sheet2!$C$79:$C$84</c:f>
              <c:numCache>
                <c:formatCode>General</c:formatCode>
                <c:ptCount val="5"/>
                <c:pt idx="0">
                  <c:v>81873.5</c:v>
                </c:pt>
                <c:pt idx="1">
                  <c:v>48461.5</c:v>
                </c:pt>
                <c:pt idx="2">
                  <c:v>46828</c:v>
                </c:pt>
                <c:pt idx="3">
                  <c:v>29309.5</c:v>
                </c:pt>
                <c:pt idx="4">
                  <c:v>27487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7E-4FA0-BC19-2ABDDA56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440575"/>
        <c:axId val="1972434335"/>
      </c:barChart>
      <c:catAx>
        <c:axId val="19724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34335"/>
        <c:crosses val="autoZero"/>
        <c:auto val="1"/>
        <c:lblAlgn val="ctr"/>
        <c:lblOffset val="100"/>
        <c:noMultiLvlLbl val="0"/>
      </c:catAx>
      <c:valAx>
        <c:axId val="19724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4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4.xlsx]Sheet2!PivotTable11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of customer by cookie type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6724214177822955"/>
          <c:y val="7.189562713293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D8F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D8F4"/>
            </a:solidFill>
            <a:ln>
              <a:noFill/>
            </a:ln>
            <a:effectLst/>
          </c:spPr>
          <c:invertIfNegative val="0"/>
          <c:cat>
            <c:strRef>
              <c:f>Sheet2!$B$93:$B$99</c:f>
              <c:strCache>
                <c:ptCount val="6"/>
                <c:pt idx="0">
                  <c:v>White Chocolate Macadamia Nut</c:v>
                </c:pt>
                <c:pt idx="1">
                  <c:v>Sugar</c:v>
                </c:pt>
                <c:pt idx="2">
                  <c:v>Snickerdoodle</c:v>
                </c:pt>
                <c:pt idx="3">
                  <c:v>Oatmeal Raisin</c:v>
                </c:pt>
                <c:pt idx="4">
                  <c:v>Fortune Cookie</c:v>
                </c:pt>
                <c:pt idx="5">
                  <c:v>Chocolate Chip</c:v>
                </c:pt>
              </c:strCache>
            </c:strRef>
          </c:cat>
          <c:val>
            <c:numRef>
              <c:f>Sheet2!$C$93:$C$99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19</c:v>
                </c:pt>
                <c:pt idx="3">
                  <c:v>18</c:v>
                </c:pt>
                <c:pt idx="4">
                  <c:v>19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7-4A3F-B8E0-0C7F416B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325503"/>
        <c:axId val="843325023"/>
      </c:barChart>
      <c:catAx>
        <c:axId val="84332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25023"/>
        <c:crosses val="autoZero"/>
        <c:auto val="1"/>
        <c:lblAlgn val="ctr"/>
        <c:lblOffset val="100"/>
        <c:noMultiLvlLbl val="0"/>
      </c:catAx>
      <c:valAx>
        <c:axId val="84332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2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_xlchart.v1.3</cx:f>
      </cx:numDim>
    </cx:data>
    <cx:data id="1"/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600" b="1" i="0" u="none" strike="noStrike" baseline="0">
                <a:solidFill>
                  <a:srgbClr val="44546A"/>
                </a:solidFill>
                <a:latin typeface="Calibri" panose="020F0502020204030204"/>
              </a:rPr>
              <a:t>Distribtion customer by city </a:t>
            </a:r>
          </a:p>
        </cx:rich>
      </cx:tx>
    </cx:title>
    <cx:plotArea>
      <cx:plotAreaRegion>
        <cx:series layoutId="treemap" uniqueId="{C0A76B3C-2D60-45FE-94E9-EA94B723EED5}" formatIdx="0">
          <cx:tx>
            <cx:txData>
              <cx:f>_xlchart.v1.1</cx:f>
              <cx:v>Green Bay Huntington Mobile Salt Lake City Seattle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  <cx:series layoutId="treemap" hidden="1" uniqueId="{00000001-F692-4C17-B535-FE3F961B9A20}" formatIdx="1">
          <cx:dataLabels pos="inEnd">
            <cx:visibility seriesName="0" categoryName="1" value="0"/>
          </cx:dataLabels>
          <cx:dataId val="1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_xlchart.v1.10</cx:f>
      </cx:numDim>
    </cx:data>
    <cx:data id="1"/>
  </cx:chartData>
  <cx:chart>
    <cx:title pos="t" align="ctr" overlay="0">
      <cx:tx>
        <cx:txData>
          <cx:v>Distribtion customer by city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rgbClr val="44546A"/>
              </a:solidFill>
              <a:latin typeface="Calibri" panose="020F0502020204030204"/>
            </a:rPr>
            <a:t>Distribtion customer by city </a:t>
          </a:r>
        </a:p>
      </cx:txPr>
    </cx:title>
    <cx:plotArea>
      <cx:plotAreaRegion>
        <cx:series layoutId="treemap" uniqueId="{C0A76B3C-2D60-45FE-94E9-EA94B723EED5}" formatIdx="0">
          <cx:tx>
            <cx:txData>
              <cx:f>_xlchart.v1.9</cx:f>
              <cx:v>Green Bay Huntington Mobile Salt Lake City Seattle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  <cx:series layoutId="treemap" hidden="1" uniqueId="{00000001-F692-4C17-B535-FE3F961B9A20}" formatIdx="1">
          <cx:dataLabels pos="inEnd">
            <cx:visibility seriesName="0" categoryName="1" value="0"/>
          </cx:dataLabels>
          <cx:dataId val="1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0.xml"/><Relationship Id="rId7" Type="http://schemas.microsoft.com/office/2014/relationships/chartEx" Target="../charts/chartEx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5</xdr:row>
      <xdr:rowOff>68580</xdr:rowOff>
    </xdr:from>
    <xdr:to>
      <xdr:col>10</xdr:col>
      <xdr:colOff>457200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87818-5E8B-C5EE-5D4B-B5FAF132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365760</xdr:colOff>
      <xdr:row>15</xdr:row>
      <xdr:rowOff>175260</xdr:rowOff>
    </xdr:from>
    <xdr:to>
      <xdr:col>10</xdr:col>
      <xdr:colOff>457200</xdr:colOff>
      <xdr:row>26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99F30-4C72-2DA4-859F-C1F7084BF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533400</xdr:colOff>
      <xdr:row>27</xdr:row>
      <xdr:rowOff>129540</xdr:rowOff>
    </xdr:from>
    <xdr:to>
      <xdr:col>11</xdr:col>
      <xdr:colOff>129540</xdr:colOff>
      <xdr:row>38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61C271-7860-738D-16C6-FC57C1ED7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472440</xdr:colOff>
      <xdr:row>29</xdr:row>
      <xdr:rowOff>106680</xdr:rowOff>
    </xdr:from>
    <xdr:to>
      <xdr:col>18</xdr:col>
      <xdr:colOff>152400</xdr:colOff>
      <xdr:row>37</xdr:row>
      <xdr:rowOff>15240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937DA00D-74F7-A50A-9F45-1B457C511B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9375" y="5272446"/>
              <a:ext cx="3361311" cy="1333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10</xdr:col>
      <xdr:colOff>556260</xdr:colOff>
      <xdr:row>39</xdr:row>
      <xdr:rowOff>125730</xdr:rowOff>
    </xdr:from>
    <xdr:to>
      <xdr:col>17</xdr:col>
      <xdr:colOff>259080</xdr:colOff>
      <xdr:row>50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B3C1DA6-39BA-98E1-0BB3-E530800F0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9700" y="7258050"/>
              <a:ext cx="3970020" cy="194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381000</xdr:colOff>
      <xdr:row>53</xdr:row>
      <xdr:rowOff>53340</xdr:rowOff>
    </xdr:from>
    <xdr:to>
      <xdr:col>11</xdr:col>
      <xdr:colOff>160020</xdr:colOff>
      <xdr:row>63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11EEA4-3A40-F3FB-241A-04E2BE36B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510540</xdr:colOff>
      <xdr:row>65</xdr:row>
      <xdr:rowOff>99060</xdr:rowOff>
    </xdr:from>
    <xdr:to>
      <xdr:col>11</xdr:col>
      <xdr:colOff>449580</xdr:colOff>
      <xdr:row>74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2D70F6-BBF9-E64B-05A1-9104402C9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152400</xdr:colOff>
      <xdr:row>77</xdr:row>
      <xdr:rowOff>133350</xdr:rowOff>
    </xdr:from>
    <xdr:to>
      <xdr:col>12</xdr:col>
      <xdr:colOff>563880</xdr:colOff>
      <xdr:row>88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E3B2A2-BB1E-E311-FCE2-BED020558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633350</xdr:colOff>
      <xdr:row>90</xdr:row>
      <xdr:rowOff>158338</xdr:rowOff>
    </xdr:from>
    <xdr:to>
      <xdr:col>11</xdr:col>
      <xdr:colOff>544285</xdr:colOff>
      <xdr:row>102</xdr:row>
      <xdr:rowOff>9896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9C8A8A-E97E-E420-5FC3-8BF8419C3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222886</xdr:colOff>
      <xdr:row>0</xdr:row>
      <xdr:rowOff>174625</xdr:rowOff>
    </xdr:from>
    <xdr:to>
      <xdr:col>27</xdr:col>
      <xdr:colOff>253366</xdr:colOff>
      <xdr:row>46</xdr:row>
      <xdr:rowOff>98743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4C4948-0163-FA86-F85A-F6D6BD1983B2}"/>
            </a:ext>
          </a:extLst>
        </xdr:cNvPr>
        <xdr:cNvSpPr/>
      </xdr:nvSpPr>
      <xdr:spPr>
        <a:xfrm>
          <a:off x="834074" y="174625"/>
          <a:ext cx="15921355" cy="8321993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001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30480</xdr:colOff>
      <xdr:row>23</xdr:row>
      <xdr:rowOff>175260</xdr:rowOff>
    </xdr:from>
    <xdr:to>
      <xdr:col>12</xdr:col>
      <xdr:colOff>541020</xdr:colOff>
      <xdr:row>32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60E11-4976-48C1-BBF4-3950E5628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15</xdr:row>
      <xdr:rowOff>121920</xdr:rowOff>
    </xdr:from>
    <xdr:to>
      <xdr:col>12</xdr:col>
      <xdr:colOff>502920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3B9A94-A83D-4EC0-9DE0-F04B0B79F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342900</xdr:colOff>
      <xdr:row>7</xdr:row>
      <xdr:rowOff>53340</xdr:rowOff>
    </xdr:from>
    <xdr:to>
      <xdr:col>6</xdr:col>
      <xdr:colOff>457200</xdr:colOff>
      <xdr:row>14</xdr:row>
      <xdr:rowOff>144780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 2">
              <a:extLst>
                <a:ext uri="{FF2B5EF4-FFF2-40B4-BE49-F238E27FC236}">
                  <a16:creationId xmlns:a16="http://schemas.microsoft.com/office/drawing/2014/main" id="{0117B0CF-3534-47FB-8366-89CAE5695F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275" y="1331278"/>
              <a:ext cx="2559050" cy="13693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15240</xdr:colOff>
      <xdr:row>6</xdr:row>
      <xdr:rowOff>114300</xdr:rowOff>
    </xdr:from>
    <xdr:to>
      <xdr:col>12</xdr:col>
      <xdr:colOff>502920</xdr:colOff>
      <xdr:row>15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E1B9BB-6F5E-4FF2-A7D4-554F3C5AE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579120</xdr:colOff>
      <xdr:row>6</xdr:row>
      <xdr:rowOff>121920</xdr:rowOff>
    </xdr:from>
    <xdr:to>
      <xdr:col>18</xdr:col>
      <xdr:colOff>556260</xdr:colOff>
      <xdr:row>15</xdr:row>
      <xdr:rowOff>53340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E8969BF-9ACC-4124-AF2A-5E96D695B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15240</xdr:colOff>
      <xdr:row>6</xdr:row>
      <xdr:rowOff>106680</xdr:rowOff>
    </xdr:from>
    <xdr:to>
      <xdr:col>24</xdr:col>
      <xdr:colOff>320040</xdr:colOff>
      <xdr:row>15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1B90323-D0CA-45B7-AD59-973736D9A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571500</xdr:colOff>
      <xdr:row>15</xdr:row>
      <xdr:rowOff>129540</xdr:rowOff>
    </xdr:from>
    <xdr:to>
      <xdr:col>18</xdr:col>
      <xdr:colOff>556260</xdr:colOff>
      <xdr:row>23</xdr:row>
      <xdr:rowOff>91440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A38256B-0DC1-440E-AB0F-D99D96D16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15240</xdr:colOff>
      <xdr:row>15</xdr:row>
      <xdr:rowOff>76200</xdr:rowOff>
    </xdr:from>
    <xdr:to>
      <xdr:col>24</xdr:col>
      <xdr:colOff>320040</xdr:colOff>
      <xdr:row>23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FAB4AD74-B81E-4688-BEAC-A37473B35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2819400"/>
              <a:ext cx="3352800" cy="147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594360</xdr:colOff>
      <xdr:row>1</xdr:row>
      <xdr:rowOff>106680</xdr:rowOff>
    </xdr:from>
    <xdr:to>
      <xdr:col>17</xdr:col>
      <xdr:colOff>228600</xdr:colOff>
      <xdr:row>5</xdr:row>
      <xdr:rowOff>129540</xdr:rowOff>
    </xdr:to>
    <xdr:sp macro="" textlink="">
      <xdr:nvSpPr>
        <xdr:cNvPr id="32" name="Rectangle: Diagonal Corners Snipped 31">
          <a:extLst>
            <a:ext uri="{FF2B5EF4-FFF2-40B4-BE49-F238E27FC236}">
              <a16:creationId xmlns:a16="http://schemas.microsoft.com/office/drawing/2014/main" id="{B71B9108-C1F8-86BC-B961-35C3B33DC167}"/>
            </a:ext>
          </a:extLst>
        </xdr:cNvPr>
        <xdr:cNvSpPr/>
      </xdr:nvSpPr>
      <xdr:spPr>
        <a:xfrm>
          <a:off x="8519160" y="289560"/>
          <a:ext cx="2072640" cy="754380"/>
        </a:xfrm>
        <a:prstGeom prst="snip2Diag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152400</xdr:colOff>
      <xdr:row>2</xdr:row>
      <xdr:rowOff>7620</xdr:rowOff>
    </xdr:from>
    <xdr:to>
      <xdr:col>17</xdr:col>
      <xdr:colOff>38100</xdr:colOff>
      <xdr:row>3</xdr:row>
      <xdr:rowOff>60960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7784F26-311D-14A1-8C5B-D2C4492FF6C2}"/>
            </a:ext>
          </a:extLst>
        </xdr:cNvPr>
        <xdr:cNvSpPr txBox="1"/>
      </xdr:nvSpPr>
      <xdr:spPr>
        <a:xfrm>
          <a:off x="8686800" y="373380"/>
          <a:ext cx="17145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Of Order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14</xdr:col>
      <xdr:colOff>152400</xdr:colOff>
      <xdr:row>3</xdr:row>
      <xdr:rowOff>106680</xdr:rowOff>
    </xdr:from>
    <xdr:to>
      <xdr:col>17</xdr:col>
      <xdr:colOff>38100</xdr:colOff>
      <xdr:row>4</xdr:row>
      <xdr:rowOff>175260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84B3BA8-635F-A67E-C9AD-151824C20CBB}"/>
            </a:ext>
          </a:extLst>
        </xdr:cNvPr>
        <xdr:cNvSpPr txBox="1"/>
      </xdr:nvSpPr>
      <xdr:spPr>
        <a:xfrm>
          <a:off x="8686800" y="655320"/>
          <a:ext cx="1714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353236954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19</xdr:col>
      <xdr:colOff>486410</xdr:colOff>
      <xdr:row>1</xdr:row>
      <xdr:rowOff>126364</xdr:rowOff>
    </xdr:from>
    <xdr:to>
      <xdr:col>23</xdr:col>
      <xdr:colOff>120650</xdr:colOff>
      <xdr:row>5</xdr:row>
      <xdr:rowOff>149224</xdr:rowOff>
    </xdr:to>
    <xdr:sp macro="" textlink="">
      <xdr:nvSpPr>
        <xdr:cNvPr id="38" name="Rectangle: Diagonal Corners Snipped 37">
          <a:extLst>
            <a:ext uri="{FF2B5EF4-FFF2-40B4-BE49-F238E27FC236}">
              <a16:creationId xmlns:a16="http://schemas.microsoft.com/office/drawing/2014/main" id="{A1734C6C-084A-4C42-BFB2-19B6CB476304}"/>
            </a:ext>
          </a:extLst>
        </xdr:cNvPr>
        <xdr:cNvSpPr/>
      </xdr:nvSpPr>
      <xdr:spPr>
        <a:xfrm>
          <a:off x="12098973" y="308927"/>
          <a:ext cx="2078990" cy="753110"/>
        </a:xfrm>
        <a:prstGeom prst="snip2Diag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236220</xdr:colOff>
      <xdr:row>1</xdr:row>
      <xdr:rowOff>83820</xdr:rowOff>
    </xdr:from>
    <xdr:to>
      <xdr:col>11</xdr:col>
      <xdr:colOff>480060</xdr:colOff>
      <xdr:row>5</xdr:row>
      <xdr:rowOff>106680</xdr:rowOff>
    </xdr:to>
    <xdr:sp macro="" textlink="">
      <xdr:nvSpPr>
        <xdr:cNvPr id="40" name="Rectangle: Diagonal Corners Snipped 39">
          <a:extLst>
            <a:ext uri="{FF2B5EF4-FFF2-40B4-BE49-F238E27FC236}">
              <a16:creationId xmlns:a16="http://schemas.microsoft.com/office/drawing/2014/main" id="{8838461B-CDE7-4E40-8782-968B2BB6970E}"/>
            </a:ext>
          </a:extLst>
        </xdr:cNvPr>
        <xdr:cNvSpPr/>
      </xdr:nvSpPr>
      <xdr:spPr>
        <a:xfrm>
          <a:off x="5113020" y="266700"/>
          <a:ext cx="2072640" cy="754380"/>
        </a:xfrm>
        <a:prstGeom prst="snip2Diag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487680</xdr:colOff>
      <xdr:row>2</xdr:row>
      <xdr:rowOff>0</xdr:rowOff>
    </xdr:from>
    <xdr:to>
      <xdr:col>11</xdr:col>
      <xdr:colOff>205740</xdr:colOff>
      <xdr:row>3</xdr:row>
      <xdr:rowOff>83820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21092D0-41FD-F9B4-7816-B4347AD5E31D}"/>
            </a:ext>
          </a:extLst>
        </xdr:cNvPr>
        <xdr:cNvSpPr txBox="1"/>
      </xdr:nvSpPr>
      <xdr:spPr>
        <a:xfrm>
          <a:off x="5364480" y="365760"/>
          <a:ext cx="154686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Of Unit Sold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20</xdr:col>
      <xdr:colOff>98107</xdr:colOff>
      <xdr:row>2</xdr:row>
      <xdr:rowOff>13335</xdr:rowOff>
    </xdr:from>
    <xdr:to>
      <xdr:col>22</xdr:col>
      <xdr:colOff>540067</xdr:colOff>
      <xdr:row>3</xdr:row>
      <xdr:rowOff>127635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87A5B4-76B4-DFC4-1CF0-335B5A6E8F43}"/>
            </a:ext>
          </a:extLst>
        </xdr:cNvPr>
        <xdr:cNvSpPr txBox="1"/>
      </xdr:nvSpPr>
      <xdr:spPr>
        <a:xfrm>
          <a:off x="12321857" y="378460"/>
          <a:ext cx="1664335" cy="296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Of Revenue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8</xdr:col>
      <xdr:colOff>472440</xdr:colOff>
      <xdr:row>3</xdr:row>
      <xdr:rowOff>152400</xdr:rowOff>
    </xdr:from>
    <xdr:to>
      <xdr:col>11</xdr:col>
      <xdr:colOff>205740</xdr:colOff>
      <xdr:row>5</xdr:row>
      <xdr:rowOff>45720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2070136-275D-9C05-106F-BEC41BC51BFB}"/>
            </a:ext>
          </a:extLst>
        </xdr:cNvPr>
        <xdr:cNvSpPr txBox="1"/>
      </xdr:nvSpPr>
      <xdr:spPr>
        <a:xfrm>
          <a:off x="5349240" y="701040"/>
          <a:ext cx="156210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1125806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20</xdr:col>
      <xdr:colOff>128905</xdr:colOff>
      <xdr:row>3</xdr:row>
      <xdr:rowOff>165417</xdr:rowOff>
    </xdr:from>
    <xdr:to>
      <xdr:col>22</xdr:col>
      <xdr:colOff>502285</xdr:colOff>
      <xdr:row>5</xdr:row>
      <xdr:rowOff>66675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F22129F-C400-21F9-B6E7-510786406748}"/>
            </a:ext>
          </a:extLst>
        </xdr:cNvPr>
        <xdr:cNvSpPr txBox="1"/>
      </xdr:nvSpPr>
      <xdr:spPr>
        <a:xfrm>
          <a:off x="12352655" y="713105"/>
          <a:ext cx="1595755" cy="2663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effectLst/>
            </a:rPr>
            <a:t> </a:t>
          </a:r>
          <a:endParaRPr lang="en-US" sz="1100"/>
        </a:p>
      </xdr:txBody>
    </xdr:sp>
    <xdr:clientData/>
  </xdr:twoCellAnchor>
  <xdr:twoCellAnchor>
    <xdr:from>
      <xdr:col>20</xdr:col>
      <xdr:colOff>7620</xdr:colOff>
      <xdr:row>27</xdr:row>
      <xdr:rowOff>0</xdr:rowOff>
    </xdr:from>
    <xdr:to>
      <xdr:col>23</xdr:col>
      <xdr:colOff>137160</xdr:colOff>
      <xdr:row>30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EA66CDF-8079-FD55-C241-F75D27CBBA62}"/>
            </a:ext>
          </a:extLst>
        </xdr:cNvPr>
        <xdr:cNvSpPr txBox="1"/>
      </xdr:nvSpPr>
      <xdr:spPr>
        <a:xfrm>
          <a:off x="12199620" y="4937760"/>
          <a:ext cx="195834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By</a:t>
          </a:r>
          <a:r>
            <a:rPr lang="en-US" sz="1200" b="1" baseline="0"/>
            <a:t> :  Nazik Yagoub</a:t>
          </a:r>
          <a:endParaRPr lang="en-US" sz="1200" b="1"/>
        </a:p>
      </xdr:txBody>
    </xdr:sp>
    <xdr:clientData/>
  </xdr:twoCellAnchor>
  <xdr:twoCellAnchor>
    <xdr:from>
      <xdr:col>12</xdr:col>
      <xdr:colOff>601980</xdr:colOff>
      <xdr:row>23</xdr:row>
      <xdr:rowOff>144781</xdr:rowOff>
    </xdr:from>
    <xdr:to>
      <xdr:col>18</xdr:col>
      <xdr:colOff>533400</xdr:colOff>
      <xdr:row>32</xdr:row>
      <xdr:rowOff>114300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9349F6D-D2D7-45E3-99BA-CC2E7364A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277812</xdr:colOff>
      <xdr:row>2</xdr:row>
      <xdr:rowOff>95250</xdr:rowOff>
    </xdr:from>
    <xdr:to>
      <xdr:col>7</xdr:col>
      <xdr:colOff>214312</xdr:colOff>
      <xdr:row>5</xdr:row>
      <xdr:rowOff>55562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129A3B7-4685-5280-6DFC-FDE154CCACEE}"/>
            </a:ext>
          </a:extLst>
        </xdr:cNvPr>
        <xdr:cNvSpPr txBox="1"/>
      </xdr:nvSpPr>
      <xdr:spPr>
        <a:xfrm>
          <a:off x="2111375" y="460375"/>
          <a:ext cx="2381250" cy="508000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Cookie</a:t>
          </a:r>
          <a:r>
            <a:rPr lang="en-US" sz="1600" b="1" baseline="0"/>
            <a:t> Sales Dashboard</a:t>
          </a:r>
          <a:endParaRPr lang="en-US" sz="1600" b="1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1458331" createdVersion="5" refreshedVersion="8" minRefreshableVersion="3" recordCount="0" supportSubquery="1" supportAdvancedDrill="1" xr:uid="{3D2A8C49-1AF6-46D7-ADA8-5FD69CD0231F}">
  <cacheSource type="external" connectionId="5"/>
  <cacheFields count="4">
    <cacheField name="[Orders].[Product].[Product]" caption="Product" numFmtId="0" hierarchy="14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Count of Customer ID]" caption="Count of Customer ID" numFmtId="0" hierarchy="25" level="32767"/>
    <cacheField name="[Customers].[City].[City]" caption="City" numFmtId="0" hierarchy="7" level="1">
      <sharedItems count="5">
        <s v="Green Bay"/>
        <s v="Huntington"/>
        <s v="Mobile"/>
        <s v="Salt Lake City"/>
        <s v="Seattle"/>
      </sharedItems>
    </cacheField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3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19213" createdVersion="5" refreshedVersion="8" minRefreshableVersion="3" recordCount="0" supportSubquery="1" supportAdvancedDrill="1" xr:uid="{367D0CEE-0C76-4E0C-9035-211275446444}">
  <cacheSource type="external" connectionId="5"/>
  <cacheFields count="4">
    <cacheField name="[Orders].[Product].[Product]" caption="Product" numFmtId="0" hierarchy="14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Cookie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Count of Customer ID 2]" caption="Count of Customer ID 2" numFmtId="0" hierarchy="33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2" memberValueDatatype="130" unbalanced="0">
      <fieldsUsage count="2">
        <fieldUsage x="-1"/>
        <fieldUsage x="1"/>
      </fieldsUsage>
    </cacheHierarchy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3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2384262" createdVersion="5" refreshedVersion="8" minRefreshableVersion="3" recordCount="0" supportSubquery="1" supportAdvancedDrill="1" xr:uid="{443871A7-21F0-4556-8CAE-335F1D57A34F}">
  <cacheSource type="external" connectionId="5"/>
  <cacheFields count="4">
    <cacheField name="[Orders].[Product].[Product]" caption="Product" numFmtId="0" hierarchy="14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Total Of Unit Sold]" caption="Total Of Unit Sold" numFmtId="0" hierarchy="18" level="32767"/>
    <cacheField name="[Cookie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2" memberValueDatatype="130" unbalanced="0">
      <fieldsUsage count="2">
        <fieldUsage x="-1"/>
        <fieldUsage x="2"/>
      </fieldsUsage>
    </cacheHierarchy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3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 oneField="1">
      <fieldsUsage count="1">
        <fieldUsage x="1"/>
      </fieldsUsage>
    </cacheHierarchy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2731485" createdVersion="5" refreshedVersion="8" minRefreshableVersion="3" recordCount="0" supportSubquery="1" supportAdvancedDrill="1" xr:uid="{0A96C264-DAB1-49E7-BA4D-872326C16EFD}">
  <cacheSource type="external" connectionId="5"/>
  <cacheFields count="4">
    <cacheField name="[Orders].[Product].[Product]" caption="Product" numFmtId="0" hierarchy="14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Total Of Unit Sold]" caption="Total Of Unit Sold" numFmtId="0" hierarchy="18" level="32767"/>
    <cacheField name="[Customers].[City].[City]" caption="City" numFmtId="0" hierarchy="7" level="1">
      <sharedItems count="5">
        <s v="Green Bay"/>
        <s v="Huntington"/>
        <s v="Mobile"/>
        <s v="Salt Lake City"/>
        <s v="Seattle"/>
      </sharedItems>
    </cacheField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3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 oneField="1">
      <fieldsUsage count="1">
        <fieldUsage x="1"/>
      </fieldsUsage>
    </cacheHierarchy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2847224" createdVersion="5" refreshedVersion="8" minRefreshableVersion="3" recordCount="0" supportSubquery="1" supportAdvancedDrill="1" xr:uid="{CA8484F4-36DC-4913-9661-EC45452008DE}">
  <cacheSource type="external" connectionId="5"/>
  <cacheFields count="2">
    <cacheField name="[Measures].[Total Of Revenue]" caption="Total Of Revenue" numFmtId="0" hierarchy="19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1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 oneField="1">
      <fieldsUsage count="1">
        <fieldUsage x="0"/>
      </fieldsUsage>
    </cacheHierarchy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3310186" createdVersion="5" refreshedVersion="8" minRefreshableVersion="3" recordCount="0" supportSubquery="1" supportAdvancedDrill="1" xr:uid="{F62FDC05-E511-4A78-BF02-22CC6CCA43E5}">
  <cacheSource type="external" connectionId="5"/>
  <cacheFields count="3">
    <cacheField name="[Cookie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Count of Customer ID 2]" caption="Count of Customer ID 2" numFmtId="0" hierarchy="33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2" memberValueDatatype="130" unbalanced="0">
      <fieldsUsage count="2">
        <fieldUsage x="-1"/>
        <fieldUsage x="0"/>
      </fieldsUsage>
    </cacheHierarchy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2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2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2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3310186" createdVersion="5" refreshedVersion="8" minRefreshableVersion="3" recordCount="0" supportSubquery="1" supportAdvancedDrill="1" xr:uid="{C093CA1A-D544-4141-9633-F8FE93E7A97D}">
  <cacheSource type="external" connectionId="5"/>
  <cacheFields count="2">
    <cacheField name="[Measures].[Total Of Order]" caption="Total Of Order" numFmtId="0" hierarchy="17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1"/>
      </fieldsUsage>
    </cacheHierarchy>
    <cacheHierarchy uniqueName="[Measures].[Total Of Order]" caption="Total Of Order" measure="1" displayFolder="" measureGroup="Orders" count="0" oneField="1">
      <fieldsUsage count="1">
        <fieldUsage x="0"/>
      </fieldsUsage>
    </cacheHierarchy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354167" createdVersion="5" refreshedVersion="8" minRefreshableVersion="3" recordCount="0" supportSubquery="1" supportAdvancedDrill="1" xr:uid="{A71C216F-D015-48FB-B682-3693AEB7D109}">
  <cacheSource type="external" connectionId="5"/>
  <cacheFields count="2">
    <cacheField name="[Measures].[Total Of Unit Sold]" caption="Total Of Unit Sold" numFmtId="0" hierarchy="18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1"/>
      </fieldsUsage>
    </cacheHierarchy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 oneField="1">
      <fieldsUsage count="1">
        <fieldUsage x="0"/>
      </fieldsUsage>
    </cacheHierarchy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3773148" createdVersion="5" refreshedVersion="8" minRefreshableVersion="3" recordCount="0" supportSubquery="1" supportAdvancedDrill="1" xr:uid="{436E899F-779D-4E50-9C61-FF929DA233DD}">
  <cacheSource type="external" connectionId="5"/>
  <cacheFields count="3">
    <cacheField name="[Customers].[City].[City]" caption="City" numFmtId="0" hierarchy="7" level="1">
      <sharedItems count="5">
        <s v="Green Bay"/>
        <s v="Huntington"/>
        <s v="Mobile"/>
        <s v="Salt Lake City"/>
        <s v="Seattle"/>
      </sharedItems>
    </cacheField>
    <cacheField name="[Measures].[Total Of Order]" caption="Total Of Order" numFmtId="0" hierarchy="17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2"/>
      </fieldsUsage>
    </cacheHierarchy>
    <cacheHierarchy uniqueName="[Measures].[Total Of Order]" caption="Total Of Order" measure="1" displayFolder="" measureGroup="Orders" count="0" oneField="1">
      <fieldsUsage count="1">
        <fieldUsage x="1"/>
      </fieldsUsage>
    </cacheHierarchy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4236109" createdVersion="5" refreshedVersion="8" minRefreshableVersion="3" recordCount="0" supportSubquery="1" supportAdvancedDrill="1" xr:uid="{B82436C3-F552-4AEC-BC45-781EE7697CB1}">
  <cacheSource type="external" connectionId="5"/>
  <cacheFields count="4">
    <cacheField name="[Customers].[City].[City]" caption="City" numFmtId="0" hierarchy="7" level="1">
      <sharedItems count="5">
        <s v="Green Bay"/>
        <s v="Huntington"/>
        <s v="Mobile"/>
        <s v="Salt Lake City"/>
        <s v="Seattle"/>
      </sharedItems>
    </cacheField>
    <cacheField name="[Measures].[Total Of Order]" caption="Total Of Order" numFmtId="0" hierarchy="17" level="32767"/>
    <cacheField name="[Cookie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2" memberValueDatatype="130" unbalanced="0">
      <fieldsUsage count="2">
        <fieldUsage x="-1"/>
        <fieldUsage x="2"/>
      </fieldsUsage>
    </cacheHierarchy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3"/>
      </fieldsUsage>
    </cacheHierarchy>
    <cacheHierarchy uniqueName="[Measures].[Total Of Order]" caption="Total Of Order" measure="1" displayFolder="" measureGroup="Orders" count="0" oneField="1">
      <fieldsUsage count="1">
        <fieldUsage x="1"/>
      </fieldsUsage>
    </cacheHierarchy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781414583333" createdVersion="5" refreshedVersion="8" minRefreshableVersion="3" recordCount="0" supportSubquery="1" supportAdvancedDrill="1" xr:uid="{5F0C475E-01D5-4AF7-98BF-AB6A0649A766}">
  <cacheSource type="external" connectionId="5"/>
  <cacheFields count="3">
    <cacheField name="[Orders].[Product].[Product]" caption="Product" numFmtId="0" hierarchy="14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Total Of Order]" caption="Total Of Order" numFmtId="0" hierarchy="17" level="32767"/>
    <cacheField name="[Orders].[Date].[Date]" caption="Date" numFmtId="0" hierarchy="16" level="1">
      <sharedItems containsSemiMixedTypes="0" containsNonDate="0" containsString="0"/>
    </cacheField>
  </cacheFields>
  <cacheHierarchies count="38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>
      <fieldsUsage count="2">
        <fieldUsage x="-1"/>
        <fieldUsage x="2"/>
      </fieldsUsage>
    </cacheHierarchy>
    <cacheHierarchy uniqueName="[Measures].[Total Of Order]" caption="Total Of Order" measure="1" displayFolder="" measureGroup="Orders" count="0" oneField="1">
      <fieldsUsage count="1">
        <fieldUsage x="1"/>
      </fieldsUsage>
    </cacheHierarchy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Per Cookie]" caption="Sum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Revenue Per Cookie]" caption="Count of Revenue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Order ID]" caption="Average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ookie Type]" caption="Count of Cookie Type" measure="1" displayFolder="" measureGroup="Cookie Typ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 2]" caption="Sum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ID 2]" caption="Count of Customer ID 2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ost Per Cookie]" caption="Sum of Cost Per Cookie" measure="1" displayFolder="" measureGroup="Cookie Typ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e]" caption="Count of State" measure="1" displayFolder="" measureGroup="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" refreshedDate="46289.579260995371" createdVersion="3" refreshedVersion="8" minRefreshableVersion="3" recordCount="0" supportSubquery="1" supportAdvancedDrill="1" xr:uid="{9B8D14A2-491B-435B-9D96-72219E4F047D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6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/>
    <cacheHierarchy uniqueName="[Measures].[Total Of Order]" caption="Total Of Order" measure="1" displayFolder="" measureGroup="Orders" count="0"/>
    <cacheHierarchy uniqueName="[Measures].[Total Of Unit Sold]" caption="Total Of Unit Sold" measure="1" displayFolder="" measureGroup="Orders" count="0"/>
    <cacheHierarchy uniqueName="[Measures].[Total Of Revenue]" caption="Total Of Revenue" measure="1" displayFolder="" measureGroup="Cookie Types" count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5391066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CF2B4-CDD2-4F14-B274-D611A8BA1B02}" name="PivotTable11" cacheId="1245" applyNumberFormats="0" applyBorderFormats="0" applyFontFormats="0" applyPatternFormats="0" applyAlignmentFormats="0" applyWidthHeightFormats="1" dataCaption="Values" tag="f208def4-5f15-4ea7-baa7-d37360b76e5b" updatedVersion="8" minRefreshableVersion="5" useAutoFormatting="1" itemPrintTitles="1" createdVersion="5" indent="0" outline="1" outlineData="1" multipleFieldFilters="0" chartFormat="15">
  <location ref="B92:C99" firstHeaderRow="1" firstDataRow="1" firstDataCol="1"/>
  <pivotFields count="3"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1" subtotal="count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C306D-8D90-4CAF-9680-E8465FD2E791}" name="PivotTable10" cacheId="1239" applyNumberFormats="0" applyBorderFormats="0" applyFontFormats="0" applyPatternFormats="0" applyAlignmentFormats="0" applyWidthHeightFormats="1" dataCaption="Values" tag="4e9d7d72-6d3a-48a2-ba33-cece74416661" updatedVersion="8" minRefreshableVersion="5" useAutoFormatting="1" subtotalHiddenItems="1" itemPrintTitles="1" createdVersion="5" indent="0" outline="1" outlineData="1" multipleFieldFilters="0" chartFormat="26">
  <location ref="B78:C84" firstHeaderRow="1" firstDataRow="1" firstDataCol="1"/>
  <pivotFields count="4">
    <pivotField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 ID"/>
    <pivotHierarchy dragToData="1"/>
    <pivotHierarchy dragToData="1" caption="Count of Revenue Per Cookie"/>
    <pivotHierarchy dragToData="1"/>
    <pivotHierarchy dragToData="1" caption="Average of Order ID"/>
    <pivotHierarchy dragToData="1" caption="Count of Order ID"/>
    <pivotHierarchy dragToData="1"/>
    <pivotHierarchy dragToData="1"/>
    <pivotHierarchy dragToData="1" caption="Count of Customer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5BC4B-1688-42EA-866F-C752099E5886}" name="PivotTable9" cacheId="1236" applyNumberFormats="0" applyBorderFormats="0" applyFontFormats="0" applyPatternFormats="0" applyAlignmentFormats="0" applyWidthHeightFormats="1" dataCaption="Values" tag="4e9d7d72-6d3a-48a2-ba33-cece74416661" updatedVersion="8" minRefreshableVersion="5" useAutoFormatting="1" subtotalHiddenItems="1" itemPrintTitles="1" createdVersion="5" indent="0" outline="1" outlineData="1" multipleFieldFilters="0" chartFormat="26">
  <location ref="B66:C73" firstHeaderRow="1" firstDataRow="1" firstDataCol="1"/>
  <pivotFields count="4">
    <pivotField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 ID"/>
    <pivotHierarchy dragToData="1"/>
    <pivotHierarchy dragToData="1" caption="Count of Revenue Per Cookie"/>
    <pivotHierarchy dragToData="1"/>
    <pivotHierarchy dragToData="1" caption="Average of Order ID"/>
    <pivotHierarchy dragToData="1" caption="Count of Order ID"/>
    <pivotHierarchy dragToData="1"/>
    <pivotHierarchy dragToData="1"/>
    <pivotHierarchy dragToData="1" caption="Count of Customer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B9832-2C1B-4473-8B9C-5E3B98ACA161}" name="PivotTable8" cacheId="1233" applyNumberFormats="0" applyBorderFormats="0" applyFontFormats="0" applyPatternFormats="0" applyAlignmentFormats="0" applyWidthHeightFormats="1" dataCaption="Values" tag="4e9d7d72-6d3a-48a2-ba33-cece74416661" updatedVersion="8" minRefreshableVersion="5" useAutoFormatting="1" subtotalHiddenItems="1" itemPrintTitles="1" createdVersion="5" indent="0" outline="1" outlineData="1" multipleFieldFilters="0" chartFormat="17">
  <location ref="B52:C59" firstHeaderRow="1" firstDataRow="1" firstDataCol="1"/>
  <pivotFields count="4">
    <pivotField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7">
    <i>
      <x v="2"/>
    </i>
    <i>
      <x v="3"/>
    </i>
    <i>
      <x v="1"/>
    </i>
    <i>
      <x v="4"/>
    </i>
    <i>
      <x v="5"/>
    </i>
    <i>
      <x/>
    </i>
    <i t="grand">
      <x/>
    </i>
  </rowItems>
  <colItems count="1">
    <i/>
  </colItems>
  <dataFields count="1">
    <dataField name="Count of Customer ID" fld="2" subtotal="count" baseField="1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 ID"/>
    <pivotHierarchy dragToData="1"/>
    <pivotHierarchy dragToData="1" caption="Count of Revenue Per Cookie"/>
    <pivotHierarchy dragToData="1"/>
    <pivotHierarchy dragToData="1" caption="Average of Order ID"/>
    <pivotHierarchy dragToData="1" caption="Count of Order ID"/>
    <pivotHierarchy dragToData="1"/>
    <pivotHierarchy dragToData="1"/>
    <pivotHierarchy dragToData="1" caption="Count of Customer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F3FD0-82EE-49C2-9D6D-296B5B7CD455}" name="PivotTable7" cacheId="1230" applyNumberFormats="0" applyBorderFormats="0" applyFontFormats="0" applyPatternFormats="0" applyAlignmentFormats="0" applyWidthHeightFormats="1" dataCaption="Values" tag="4e9d7d72-6d3a-48a2-ba33-cece74416661" updatedVersion="8" minRefreshableVersion="5" useAutoFormatting="1" subtotalHiddenItems="1" itemPrintTitles="1" createdVersion="5" indent="0" outline="1" outlineData="1" multipleFieldFilters="0" chartFormat="12">
  <location ref="B42:C48" firstHeaderRow="1" firstDataRow="1" firstDataCol="1"/>
  <pivotFields count="4">
    <pivotField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9CEA6-B0E9-40C2-A50A-649D9DD6DA7F}" name="PivotTable2" cacheId="1248" applyNumberFormats="0" applyBorderFormats="0" applyFontFormats="0" applyPatternFormats="0" applyAlignmentFormats="0" applyWidthHeightFormats="1" dataCaption="Values" tag="b3f7947f-23d6-4840-bde7-3789c9ad977f" updatedVersion="8" minRefreshableVersion="5" useAutoFormatting="1" itemPrintTitles="1" createdVersion="5" indent="0" outline="1" outlineData="1" multipleFieldFilters="0">
  <location ref="D3:D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7AF2D-FA75-4071-8C57-15F1950400EA}" name="PivotTable1" cacheId="1242" applyNumberFormats="0" applyBorderFormats="0" applyFontFormats="0" applyPatternFormats="0" applyAlignmentFormats="0" applyWidthHeightFormats="1" dataCaption="Values" tag="2724754d-e4fa-4307-8a67-c538fec81f47" updatedVersion="8" minRefreshableVersion="5" useAutoFormatting="1" itemPrintTitles="1" createdVersion="5" indent="0" outline="1" outlineData="1" multipleFieldFilters="0">
  <location ref="B3:B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D9CA5-858A-494A-A040-ABE12ADE4971}" name="PivotTable6" cacheId="1260" applyNumberFormats="0" applyBorderFormats="0" applyFontFormats="0" applyPatternFormats="0" applyAlignmentFormats="0" applyWidthHeightFormats="1" dataCaption="Values" tag="4e9d7d72-6d3a-48a2-ba33-cece74416661" updatedVersion="8" minRefreshableVersion="5" useAutoFormatting="1" subtotalHiddenItems="1" itemPrintTitles="1" createdVersion="5" indent="0" outline="1" outlineData="1" multipleFieldFilters="0" chartFormat="20">
  <location ref="B30:C37" firstHeaderRow="1" firstDataRow="1" firstDataCol="1"/>
  <pivotFields count="3"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2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10B16-A090-401E-8BD8-8A36DB8F2F43}" name="PivotTable5" cacheId="1257" applyNumberFormats="0" applyBorderFormats="0" applyFontFormats="0" applyPatternFormats="0" applyAlignmentFormats="0" applyWidthHeightFormats="1" dataCaption="Values" tag="f208def4-5f15-4ea7-baa7-d37360b76e5b" updatedVersion="8" minRefreshableVersion="5" useAutoFormatting="1" itemPrintTitles="1" createdVersion="5" indent="0" outline="1" outlineData="1" multipleFieldFilters="0" chartFormat="16">
  <location ref="B19:C26" firstHeaderRow="1" firstDataRow="1" firstDataCol="1"/>
  <pivotFields count="4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7">
    <i>
      <x v="1"/>
    </i>
    <i>
      <x v="2"/>
    </i>
    <i>
      <x v="3"/>
    </i>
    <i>
      <x v="5"/>
    </i>
    <i>
      <x v="4"/>
    </i>
    <i>
      <x/>
    </i>
    <i t="grand">
      <x/>
    </i>
  </rowItems>
  <colItems count="1">
    <i/>
  </colItems>
  <dataFields count="1">
    <dataField fld="1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C30F6-EBE7-45DA-B8BD-C4B015CADCBD}" name="PivotTable4" cacheId="1254" applyNumberFormats="0" applyBorderFormats="0" applyFontFormats="0" applyPatternFormats="0" applyAlignmentFormats="0" applyWidthHeightFormats="1" dataCaption="Values" tag="8dcfa0ef-a2ca-4b6a-bed4-b97cc3e45738" updatedVersion="8" minRefreshableVersion="5" useAutoFormatting="1" itemPrintTitles="1" createdVersion="5" indent="0" outline="1" outlineData="1" multipleFieldFilters="0" chartFormat="12">
  <location ref="B8:C14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89536-5319-42DD-A99E-DD639B4827B5}" name="PivotTable3" cacheId="1251" applyNumberFormats="0" applyBorderFormats="0" applyFontFormats="0" applyPatternFormats="0" applyAlignmentFormats="0" applyWidthHeightFormats="1" dataCaption="Values" tag="b8c846bc-b4fa-44ee-ad4a-5422ac51145f" updatedVersion="8" minRefreshableVersion="5" useAutoFormatting="1" itemPrintTitles="1" createdVersion="5" indent="0" outline="1" outlineData="1" multipleFieldFilters="0">
  <location ref="F3:F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21" name="[Orders].[Date]">
      <autoFilter ref="A1">
        <filterColumn colId="0">
          <customFilters and="1">
            <customFilter operator="greaterThanOrEqual" val="43922"/>
            <customFilter operator="lessThanOrEqual" val="440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 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CCCD88B4-9FD7-4B43-941E-8FE040A49A73}" autoFormatId="16" applyNumberFormats="0" applyBorderFormats="0" applyFontFormats="0" applyPatternFormats="0" applyAlignmentFormats="0" applyWidthHeightFormats="0">
  <queryTableRefresh nextId="6">
    <queryTableFields count="5">
      <queryTableField id="1" name="Orders[Customer ID]" tableColumnId="1"/>
      <queryTableField id="2" name="Orders[Order ID]" tableColumnId="2"/>
      <queryTableField id="3" name="Orders[Product]" tableColumnId="3"/>
      <queryTableField id="4" name="Orders[Units Sold]" tableColumnId="4"/>
      <queryTableField id="5" name="Orders[Date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D153A-7412-4B70-9EB0-39166550D2F9}" name="Table_ExternalData_1" displayName="Table_ExternalData_1" ref="A3:E205" tableType="queryTable" totalsRowShown="0">
  <autoFilter ref="A3:E205" xr:uid="{F76D153A-7412-4B70-9EB0-39166550D2F9}"/>
  <tableColumns count="5">
    <tableColumn id="1" xr3:uid="{84C507C9-EC5A-4F8A-B6F2-F68D368EAB5F}" uniqueName="1" name="Orders[Customer ID]" queryTableFieldId="1"/>
    <tableColumn id="2" xr3:uid="{D42E798E-C58D-4AAA-8C6C-AB78E1C38B22}" uniqueName="2" name="Orders[Order ID]" queryTableFieldId="2"/>
    <tableColumn id="3" xr3:uid="{5B54BE3C-0ACA-4844-AA72-8FA170012437}" uniqueName="3" name="Orders[Product]" queryTableFieldId="3"/>
    <tableColumn id="4" xr3:uid="{5F27698E-B5AC-419E-B3BF-D071E75B198F}" uniqueName="4" name="Orders[Units Sold]" queryTableFieldId="4"/>
    <tableColumn id="5" xr3:uid="{2350C293-47D8-429A-B6D3-9F266168D563}" uniqueName="5" name="Orders[Date]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4135CE5F-DA8B-4E4C-9340-EC1B3A32971F}" sourceName="[Orders].[Date]">
  <pivotTables>
    <pivotTable tabId="2" name="PivotTable7"/>
    <pivotTable tabId="2" name="PivotTable8"/>
    <pivotTable tabId="2" name="PivotTable9"/>
    <pivotTable tabId="2" name="PivotTable10"/>
    <pivotTable tabId="2" name="PivotTable1"/>
    <pivotTable tabId="2" name="PivotTable11"/>
    <pivotTable tabId="2" name="PivotTable2"/>
    <pivotTable tabId="2" name="PivotTable3"/>
    <pivotTable tabId="2" name="PivotTable4"/>
    <pivotTable tabId="2" name="PivotTable5"/>
    <pivotTable tabId="2" name="PivotTable6"/>
  </pivotTables>
  <state minimalRefreshVersion="6" lastRefreshVersion="6" pivotCacheId="1453910660" filterType="dateBetween">
    <selection startDate="2020-04-01T00:00:00" endDate="2020-06-30T00:00:00"/>
    <bounds startDate="2019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8D0200F-993B-4E19-9D04-1778631C377B}" cache="Timeline_Date" caption="Date" level="1" selectionLevel="1" scrollPosition="2019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C6AA6AD8-920B-478D-89AF-653CD1D106C6}" cache="Timeline_Date" caption="Date" level="1" selectionLevel="1" scrollPosition="2019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11C4-AD00-4C4B-B69B-D04694C5FCAE}">
  <dimension ref="A1:E205"/>
  <sheetViews>
    <sheetView workbookViewId="0">
      <selection activeCell="B7" sqref="B7"/>
    </sheetView>
  </sheetViews>
  <sheetFormatPr defaultRowHeight="14.4" x14ac:dyDescent="0.3"/>
  <cols>
    <col min="1" max="1" width="20.6640625" bestFit="1" customWidth="1"/>
    <col min="2" max="2" width="17.21875" bestFit="1" customWidth="1"/>
    <col min="3" max="3" width="16.88671875" bestFit="1" customWidth="1"/>
    <col min="4" max="4" width="18.6640625" bestFit="1" customWidth="1"/>
    <col min="5" max="5" width="14" bestFit="1" customWidth="1"/>
  </cols>
  <sheetData>
    <row r="1" spans="1:5" x14ac:dyDescent="0.3">
      <c r="A1" s="5" t="s">
        <v>22</v>
      </c>
    </row>
    <row r="3" spans="1:5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3">
      <c r="A4">
        <v>3</v>
      </c>
      <c r="B4">
        <v>266868</v>
      </c>
      <c r="C4" t="s">
        <v>10</v>
      </c>
      <c r="D4">
        <v>292</v>
      </c>
      <c r="E4" s="4">
        <v>43862</v>
      </c>
    </row>
    <row r="5" spans="1:5" x14ac:dyDescent="0.3">
      <c r="A5">
        <v>3</v>
      </c>
      <c r="B5">
        <v>140794</v>
      </c>
      <c r="C5" t="s">
        <v>10</v>
      </c>
      <c r="D5">
        <v>974</v>
      </c>
      <c r="E5" s="4">
        <v>43862</v>
      </c>
    </row>
    <row r="6" spans="1:5" x14ac:dyDescent="0.3">
      <c r="A6">
        <v>3</v>
      </c>
      <c r="B6">
        <v>684759</v>
      </c>
      <c r="C6" t="s">
        <v>10</v>
      </c>
      <c r="D6">
        <v>2518</v>
      </c>
      <c r="E6" s="4">
        <v>43983</v>
      </c>
    </row>
    <row r="7" spans="1:5" x14ac:dyDescent="0.3">
      <c r="A7">
        <v>3</v>
      </c>
      <c r="B7">
        <v>183251</v>
      </c>
      <c r="C7" t="s">
        <v>10</v>
      </c>
      <c r="D7">
        <v>1513</v>
      </c>
      <c r="E7" s="4">
        <v>44166</v>
      </c>
    </row>
    <row r="8" spans="1:5" x14ac:dyDescent="0.3">
      <c r="A8">
        <v>3</v>
      </c>
      <c r="B8">
        <v>600124</v>
      </c>
      <c r="C8" t="s">
        <v>10</v>
      </c>
      <c r="D8">
        <v>1030</v>
      </c>
      <c r="E8" s="4">
        <v>43952</v>
      </c>
    </row>
    <row r="9" spans="1:5" x14ac:dyDescent="0.3">
      <c r="A9">
        <v>3</v>
      </c>
      <c r="B9">
        <v>562219</v>
      </c>
      <c r="C9" t="s">
        <v>10</v>
      </c>
      <c r="D9">
        <v>1514</v>
      </c>
      <c r="E9" s="4">
        <v>43862</v>
      </c>
    </row>
    <row r="10" spans="1:5" x14ac:dyDescent="0.3">
      <c r="A10">
        <v>3</v>
      </c>
      <c r="B10">
        <v>387444</v>
      </c>
      <c r="C10" t="s">
        <v>10</v>
      </c>
      <c r="D10">
        <v>787</v>
      </c>
      <c r="E10" s="4">
        <v>43983</v>
      </c>
    </row>
    <row r="11" spans="1:5" x14ac:dyDescent="0.3">
      <c r="A11">
        <v>3</v>
      </c>
      <c r="B11">
        <v>365463</v>
      </c>
      <c r="C11" t="s">
        <v>10</v>
      </c>
      <c r="D11">
        <v>1728</v>
      </c>
      <c r="E11" s="4">
        <v>43952</v>
      </c>
    </row>
    <row r="12" spans="1:5" x14ac:dyDescent="0.3">
      <c r="A12">
        <v>3</v>
      </c>
      <c r="B12">
        <v>505159</v>
      </c>
      <c r="C12" t="s">
        <v>10</v>
      </c>
      <c r="D12">
        <v>2145</v>
      </c>
      <c r="E12" s="4">
        <v>43739</v>
      </c>
    </row>
    <row r="13" spans="1:5" x14ac:dyDescent="0.3">
      <c r="A13">
        <v>3</v>
      </c>
      <c r="B13">
        <v>300303</v>
      </c>
      <c r="C13" t="s">
        <v>10</v>
      </c>
      <c r="D13">
        <v>1084</v>
      </c>
      <c r="E13" s="4">
        <v>44166</v>
      </c>
    </row>
    <row r="14" spans="1:5" x14ac:dyDescent="0.3">
      <c r="A14">
        <v>3</v>
      </c>
      <c r="B14">
        <v>578401</v>
      </c>
      <c r="C14" t="s">
        <v>10</v>
      </c>
      <c r="D14">
        <v>689</v>
      </c>
      <c r="E14" s="4">
        <v>43983</v>
      </c>
    </row>
    <row r="15" spans="1:5" x14ac:dyDescent="0.3">
      <c r="A15">
        <v>3</v>
      </c>
      <c r="B15">
        <v>365552</v>
      </c>
      <c r="C15" t="s">
        <v>10</v>
      </c>
      <c r="D15">
        <v>1570</v>
      </c>
      <c r="E15" s="4">
        <v>43983</v>
      </c>
    </row>
    <row r="16" spans="1:5" x14ac:dyDescent="0.3">
      <c r="A16">
        <v>3</v>
      </c>
      <c r="B16">
        <v>239419</v>
      </c>
      <c r="C16" t="s">
        <v>10</v>
      </c>
      <c r="D16">
        <v>4251</v>
      </c>
      <c r="E16" s="4">
        <v>43831</v>
      </c>
    </row>
    <row r="17" spans="1:5" x14ac:dyDescent="0.3">
      <c r="A17">
        <v>3</v>
      </c>
      <c r="B17">
        <v>549329</v>
      </c>
      <c r="C17" t="s">
        <v>10</v>
      </c>
      <c r="D17">
        <v>2918</v>
      </c>
      <c r="E17" s="4">
        <v>43952</v>
      </c>
    </row>
    <row r="18" spans="1:5" x14ac:dyDescent="0.3">
      <c r="A18">
        <v>3</v>
      </c>
      <c r="B18">
        <v>288851</v>
      </c>
      <c r="C18" t="s">
        <v>10</v>
      </c>
      <c r="D18">
        <v>2988</v>
      </c>
      <c r="E18" s="4">
        <v>44013</v>
      </c>
    </row>
    <row r="19" spans="1:5" x14ac:dyDescent="0.3">
      <c r="A19">
        <v>3</v>
      </c>
      <c r="B19">
        <v>255145</v>
      </c>
      <c r="C19" t="s">
        <v>10</v>
      </c>
      <c r="D19">
        <v>2074</v>
      </c>
      <c r="E19" s="4">
        <v>44075</v>
      </c>
    </row>
    <row r="20" spans="1:5" x14ac:dyDescent="0.3">
      <c r="A20">
        <v>3</v>
      </c>
      <c r="B20">
        <v>538134</v>
      </c>
      <c r="C20" t="s">
        <v>10</v>
      </c>
      <c r="D20">
        <v>1514</v>
      </c>
      <c r="E20" s="4">
        <v>43739</v>
      </c>
    </row>
    <row r="21" spans="1:5" x14ac:dyDescent="0.3">
      <c r="A21">
        <v>3</v>
      </c>
      <c r="B21">
        <v>817134</v>
      </c>
      <c r="C21" t="s">
        <v>10</v>
      </c>
      <c r="D21">
        <v>274</v>
      </c>
      <c r="E21" s="4">
        <v>44166</v>
      </c>
    </row>
    <row r="22" spans="1:5" x14ac:dyDescent="0.3">
      <c r="A22">
        <v>3</v>
      </c>
      <c r="B22">
        <v>697568</v>
      </c>
      <c r="C22" t="s">
        <v>10</v>
      </c>
      <c r="D22">
        <v>1138</v>
      </c>
      <c r="E22" s="4">
        <v>44166</v>
      </c>
    </row>
    <row r="23" spans="1:5" x14ac:dyDescent="0.3">
      <c r="A23">
        <v>3</v>
      </c>
      <c r="B23">
        <v>508782</v>
      </c>
      <c r="C23" t="s">
        <v>10</v>
      </c>
      <c r="D23">
        <v>2992</v>
      </c>
      <c r="E23" s="4">
        <v>43891</v>
      </c>
    </row>
    <row r="24" spans="1:5" x14ac:dyDescent="0.3">
      <c r="A24">
        <v>3</v>
      </c>
      <c r="B24">
        <v>697895</v>
      </c>
      <c r="C24" t="s">
        <v>10</v>
      </c>
      <c r="D24">
        <v>1228</v>
      </c>
      <c r="E24" s="4">
        <v>43739</v>
      </c>
    </row>
    <row r="25" spans="1:5" x14ac:dyDescent="0.3">
      <c r="A25">
        <v>3</v>
      </c>
      <c r="B25">
        <v>691331</v>
      </c>
      <c r="C25" t="s">
        <v>10</v>
      </c>
      <c r="D25">
        <v>1389</v>
      </c>
      <c r="E25" s="4">
        <v>43739</v>
      </c>
    </row>
    <row r="26" spans="1:5" x14ac:dyDescent="0.3">
      <c r="A26">
        <v>3</v>
      </c>
      <c r="B26">
        <v>568366</v>
      </c>
      <c r="C26" t="s">
        <v>10</v>
      </c>
      <c r="D26">
        <v>1496</v>
      </c>
      <c r="E26" s="4">
        <v>43983</v>
      </c>
    </row>
    <row r="27" spans="1:5" x14ac:dyDescent="0.3">
      <c r="A27">
        <v>3</v>
      </c>
      <c r="B27">
        <v>176592</v>
      </c>
      <c r="C27" t="s">
        <v>10</v>
      </c>
      <c r="D27">
        <v>2299</v>
      </c>
      <c r="E27" s="4">
        <v>43739</v>
      </c>
    </row>
    <row r="28" spans="1:5" x14ac:dyDescent="0.3">
      <c r="A28">
        <v>3</v>
      </c>
      <c r="B28">
        <v>698245</v>
      </c>
      <c r="C28" t="s">
        <v>10</v>
      </c>
      <c r="D28">
        <v>2198</v>
      </c>
      <c r="E28" s="4">
        <v>44044</v>
      </c>
    </row>
    <row r="29" spans="1:5" x14ac:dyDescent="0.3">
      <c r="A29">
        <v>3</v>
      </c>
      <c r="B29">
        <v>293863</v>
      </c>
      <c r="C29" t="s">
        <v>10</v>
      </c>
      <c r="D29">
        <v>1535</v>
      </c>
      <c r="E29" s="4">
        <v>44075</v>
      </c>
    </row>
    <row r="30" spans="1:5" x14ac:dyDescent="0.3">
      <c r="A30">
        <v>3</v>
      </c>
      <c r="B30">
        <v>521535</v>
      </c>
      <c r="C30" t="s">
        <v>10</v>
      </c>
      <c r="D30">
        <v>1404</v>
      </c>
      <c r="E30" s="4">
        <v>43770</v>
      </c>
    </row>
    <row r="31" spans="1:5" x14ac:dyDescent="0.3">
      <c r="A31">
        <v>3</v>
      </c>
      <c r="B31">
        <v>146778</v>
      </c>
      <c r="C31" t="s">
        <v>10</v>
      </c>
      <c r="D31">
        <v>2125</v>
      </c>
      <c r="E31" s="4">
        <v>43800</v>
      </c>
    </row>
    <row r="32" spans="1:5" x14ac:dyDescent="0.3">
      <c r="A32">
        <v>3</v>
      </c>
      <c r="B32">
        <v>428676</v>
      </c>
      <c r="C32" t="s">
        <v>10</v>
      </c>
      <c r="D32">
        <v>1259</v>
      </c>
      <c r="E32" s="4">
        <v>43922</v>
      </c>
    </row>
    <row r="33" spans="1:5" x14ac:dyDescent="0.3">
      <c r="A33">
        <v>3</v>
      </c>
      <c r="B33">
        <v>418690</v>
      </c>
      <c r="C33" t="s">
        <v>10</v>
      </c>
      <c r="D33">
        <v>1366</v>
      </c>
      <c r="E33" s="4">
        <v>43983</v>
      </c>
    </row>
    <row r="34" spans="1:5" x14ac:dyDescent="0.3">
      <c r="A34">
        <v>3</v>
      </c>
      <c r="B34">
        <v>496123</v>
      </c>
      <c r="C34" t="s">
        <v>10</v>
      </c>
      <c r="D34">
        <v>2460</v>
      </c>
      <c r="E34" s="4">
        <v>43983</v>
      </c>
    </row>
    <row r="35" spans="1:5" x14ac:dyDescent="0.3">
      <c r="A35">
        <v>3</v>
      </c>
      <c r="B35">
        <v>513469</v>
      </c>
      <c r="C35" t="s">
        <v>10</v>
      </c>
      <c r="D35">
        <v>1598</v>
      </c>
      <c r="E35" s="4">
        <v>44044</v>
      </c>
    </row>
    <row r="36" spans="1:5" x14ac:dyDescent="0.3">
      <c r="A36">
        <v>3</v>
      </c>
      <c r="B36">
        <v>231476</v>
      </c>
      <c r="C36" t="s">
        <v>10</v>
      </c>
      <c r="D36">
        <v>2409</v>
      </c>
      <c r="E36" s="4">
        <v>43709</v>
      </c>
    </row>
    <row r="37" spans="1:5" x14ac:dyDescent="0.3">
      <c r="A37">
        <v>3</v>
      </c>
      <c r="B37">
        <v>100553</v>
      </c>
      <c r="C37" t="s">
        <v>10</v>
      </c>
      <c r="D37">
        <v>1934</v>
      </c>
      <c r="E37" s="4">
        <v>44075</v>
      </c>
    </row>
    <row r="38" spans="1:5" x14ac:dyDescent="0.3">
      <c r="A38">
        <v>3</v>
      </c>
      <c r="B38">
        <v>788375</v>
      </c>
      <c r="C38" t="s">
        <v>10</v>
      </c>
      <c r="D38">
        <v>2993</v>
      </c>
      <c r="E38" s="4">
        <v>44075</v>
      </c>
    </row>
    <row r="39" spans="1:5" x14ac:dyDescent="0.3">
      <c r="A39">
        <v>3</v>
      </c>
      <c r="B39">
        <v>263663</v>
      </c>
      <c r="C39" t="s">
        <v>10</v>
      </c>
      <c r="D39">
        <v>2146</v>
      </c>
      <c r="E39" s="4">
        <v>43770</v>
      </c>
    </row>
    <row r="40" spans="1:5" x14ac:dyDescent="0.3">
      <c r="A40">
        <v>3</v>
      </c>
      <c r="B40">
        <v>887888</v>
      </c>
      <c r="C40" t="s">
        <v>10</v>
      </c>
      <c r="D40">
        <v>1946</v>
      </c>
      <c r="E40" s="4">
        <v>43800</v>
      </c>
    </row>
    <row r="41" spans="1:5" x14ac:dyDescent="0.3">
      <c r="A41">
        <v>3</v>
      </c>
      <c r="B41">
        <v>171515</v>
      </c>
      <c r="C41" t="s">
        <v>10</v>
      </c>
      <c r="D41">
        <v>1227</v>
      </c>
      <c r="E41" s="4">
        <v>44105</v>
      </c>
    </row>
    <row r="42" spans="1:5" x14ac:dyDescent="0.3">
      <c r="A42">
        <v>3</v>
      </c>
      <c r="B42">
        <v>839631</v>
      </c>
      <c r="C42" t="s">
        <v>10</v>
      </c>
      <c r="D42">
        <v>1775</v>
      </c>
      <c r="E42" s="4">
        <v>43770</v>
      </c>
    </row>
    <row r="43" spans="1:5" x14ac:dyDescent="0.3">
      <c r="A43">
        <v>3</v>
      </c>
      <c r="B43">
        <v>686651</v>
      </c>
      <c r="C43" t="s">
        <v>10</v>
      </c>
      <c r="D43">
        <v>386</v>
      </c>
      <c r="E43" s="4">
        <v>43739</v>
      </c>
    </row>
    <row r="44" spans="1:5" x14ac:dyDescent="0.3">
      <c r="A44">
        <v>3</v>
      </c>
      <c r="B44">
        <v>712767</v>
      </c>
      <c r="C44" t="s">
        <v>10</v>
      </c>
      <c r="D44">
        <v>2167</v>
      </c>
      <c r="E44" s="4">
        <v>43739</v>
      </c>
    </row>
    <row r="45" spans="1:5" x14ac:dyDescent="0.3">
      <c r="A45">
        <v>3</v>
      </c>
      <c r="B45">
        <v>565251</v>
      </c>
      <c r="C45" t="s">
        <v>10</v>
      </c>
      <c r="D45">
        <v>241</v>
      </c>
      <c r="E45" s="4">
        <v>44105</v>
      </c>
    </row>
    <row r="46" spans="1:5" x14ac:dyDescent="0.3">
      <c r="A46">
        <v>3</v>
      </c>
      <c r="B46">
        <v>436809</v>
      </c>
      <c r="C46" t="s">
        <v>10</v>
      </c>
      <c r="D46">
        <v>2532</v>
      </c>
      <c r="E46" s="4">
        <v>43922</v>
      </c>
    </row>
    <row r="47" spans="1:5" x14ac:dyDescent="0.3">
      <c r="A47">
        <v>3</v>
      </c>
      <c r="B47">
        <v>294935</v>
      </c>
      <c r="C47" t="s">
        <v>10</v>
      </c>
      <c r="D47">
        <v>1198</v>
      </c>
      <c r="E47" s="4">
        <v>43739</v>
      </c>
    </row>
    <row r="48" spans="1:5" x14ac:dyDescent="0.3">
      <c r="A48">
        <v>3</v>
      </c>
      <c r="B48">
        <v>103317</v>
      </c>
      <c r="C48" t="s">
        <v>10</v>
      </c>
      <c r="D48">
        <v>873</v>
      </c>
      <c r="E48" s="4">
        <v>43831</v>
      </c>
    </row>
    <row r="49" spans="1:5" x14ac:dyDescent="0.3">
      <c r="A49">
        <v>3</v>
      </c>
      <c r="B49">
        <v>667288</v>
      </c>
      <c r="C49" t="s">
        <v>10</v>
      </c>
      <c r="D49">
        <v>1122</v>
      </c>
      <c r="E49" s="4">
        <v>43891</v>
      </c>
    </row>
    <row r="50" spans="1:5" x14ac:dyDescent="0.3">
      <c r="A50">
        <v>3</v>
      </c>
      <c r="B50">
        <v>735406</v>
      </c>
      <c r="C50" t="s">
        <v>10</v>
      </c>
      <c r="D50">
        <v>2104.5</v>
      </c>
      <c r="E50" s="4">
        <v>44013</v>
      </c>
    </row>
    <row r="51" spans="1:5" x14ac:dyDescent="0.3">
      <c r="A51">
        <v>3</v>
      </c>
      <c r="B51">
        <v>253399</v>
      </c>
      <c r="C51" t="s">
        <v>10</v>
      </c>
      <c r="D51">
        <v>4026</v>
      </c>
      <c r="E51" s="4">
        <v>44013</v>
      </c>
    </row>
    <row r="52" spans="1:5" x14ac:dyDescent="0.3">
      <c r="A52">
        <v>3</v>
      </c>
      <c r="B52">
        <v>159484</v>
      </c>
      <c r="C52" t="s">
        <v>10</v>
      </c>
      <c r="D52">
        <v>1984</v>
      </c>
      <c r="E52" s="4">
        <v>44044</v>
      </c>
    </row>
    <row r="53" spans="1:5" x14ac:dyDescent="0.3">
      <c r="A53">
        <v>3</v>
      </c>
      <c r="B53">
        <v>120842</v>
      </c>
      <c r="C53" t="s">
        <v>10</v>
      </c>
      <c r="D53">
        <v>2441</v>
      </c>
      <c r="E53" s="4">
        <v>44105</v>
      </c>
    </row>
    <row r="54" spans="1:5" x14ac:dyDescent="0.3">
      <c r="A54">
        <v>3</v>
      </c>
      <c r="B54">
        <v>781275</v>
      </c>
      <c r="C54" t="s">
        <v>10</v>
      </c>
      <c r="D54">
        <v>1366</v>
      </c>
      <c r="E54" s="4">
        <v>44136</v>
      </c>
    </row>
    <row r="55" spans="1:5" x14ac:dyDescent="0.3">
      <c r="A55">
        <v>3</v>
      </c>
      <c r="B55">
        <v>607709</v>
      </c>
      <c r="C55" t="s">
        <v>10</v>
      </c>
      <c r="D55">
        <v>380</v>
      </c>
      <c r="E55" s="4">
        <v>43709</v>
      </c>
    </row>
    <row r="56" spans="1:5" x14ac:dyDescent="0.3">
      <c r="A56">
        <v>3</v>
      </c>
      <c r="B56">
        <v>170514</v>
      </c>
      <c r="C56" t="s">
        <v>10</v>
      </c>
      <c r="D56">
        <v>905</v>
      </c>
      <c r="E56" s="4">
        <v>44105</v>
      </c>
    </row>
    <row r="57" spans="1:5" x14ac:dyDescent="0.3">
      <c r="A57">
        <v>3</v>
      </c>
      <c r="B57">
        <v>582048</v>
      </c>
      <c r="C57" t="s">
        <v>10</v>
      </c>
      <c r="D57">
        <v>1197</v>
      </c>
      <c r="E57" s="4">
        <v>44136</v>
      </c>
    </row>
    <row r="58" spans="1:5" x14ac:dyDescent="0.3">
      <c r="A58">
        <v>3</v>
      </c>
      <c r="B58">
        <v>143923</v>
      </c>
      <c r="C58" t="s">
        <v>10</v>
      </c>
      <c r="D58">
        <v>1531</v>
      </c>
      <c r="E58" s="4">
        <v>44166</v>
      </c>
    </row>
    <row r="59" spans="1:5" x14ac:dyDescent="0.3">
      <c r="A59">
        <v>3</v>
      </c>
      <c r="B59">
        <v>710711</v>
      </c>
      <c r="C59" t="s">
        <v>10</v>
      </c>
      <c r="D59">
        <v>1438.5</v>
      </c>
      <c r="E59" s="4">
        <v>43831</v>
      </c>
    </row>
    <row r="60" spans="1:5" x14ac:dyDescent="0.3">
      <c r="A60">
        <v>3</v>
      </c>
      <c r="B60">
        <v>388978</v>
      </c>
      <c r="C60" t="s">
        <v>10</v>
      </c>
      <c r="D60">
        <v>2641</v>
      </c>
      <c r="E60" s="4">
        <v>43862</v>
      </c>
    </row>
    <row r="61" spans="1:5" x14ac:dyDescent="0.3">
      <c r="A61">
        <v>3</v>
      </c>
      <c r="B61">
        <v>121808</v>
      </c>
      <c r="C61" t="s">
        <v>10</v>
      </c>
      <c r="D61">
        <v>2696</v>
      </c>
      <c r="E61" s="4">
        <v>44044</v>
      </c>
    </row>
    <row r="62" spans="1:5" x14ac:dyDescent="0.3">
      <c r="A62">
        <v>3</v>
      </c>
      <c r="B62">
        <v>374010</v>
      </c>
      <c r="C62" t="s">
        <v>10</v>
      </c>
      <c r="D62">
        <v>1249</v>
      </c>
      <c r="E62" s="4">
        <v>44105</v>
      </c>
    </row>
    <row r="63" spans="1:5" x14ac:dyDescent="0.3">
      <c r="A63">
        <v>3</v>
      </c>
      <c r="B63">
        <v>448428</v>
      </c>
      <c r="C63" t="s">
        <v>10</v>
      </c>
      <c r="D63">
        <v>357</v>
      </c>
      <c r="E63" s="4">
        <v>44136</v>
      </c>
    </row>
    <row r="64" spans="1:5" x14ac:dyDescent="0.3">
      <c r="A64">
        <v>3</v>
      </c>
      <c r="B64">
        <v>217341</v>
      </c>
      <c r="C64" t="s">
        <v>10</v>
      </c>
      <c r="D64">
        <v>278</v>
      </c>
      <c r="E64" s="4">
        <v>43862</v>
      </c>
    </row>
    <row r="65" spans="1:5" x14ac:dyDescent="0.3">
      <c r="A65">
        <v>3</v>
      </c>
      <c r="B65">
        <v>358353</v>
      </c>
      <c r="C65" t="s">
        <v>10</v>
      </c>
      <c r="D65">
        <v>260</v>
      </c>
      <c r="E65" s="4">
        <v>43862</v>
      </c>
    </row>
    <row r="66" spans="1:5" x14ac:dyDescent="0.3">
      <c r="A66">
        <v>3</v>
      </c>
      <c r="B66">
        <v>864409</v>
      </c>
      <c r="C66" t="s">
        <v>10</v>
      </c>
      <c r="D66">
        <v>2470</v>
      </c>
      <c r="E66" s="4">
        <v>43709</v>
      </c>
    </row>
    <row r="67" spans="1:5" x14ac:dyDescent="0.3">
      <c r="A67">
        <v>3</v>
      </c>
      <c r="B67">
        <v>898886</v>
      </c>
      <c r="C67" t="s">
        <v>10</v>
      </c>
      <c r="D67">
        <v>2914</v>
      </c>
      <c r="E67" s="4">
        <v>44105</v>
      </c>
    </row>
    <row r="68" spans="1:5" x14ac:dyDescent="0.3">
      <c r="A68">
        <v>3</v>
      </c>
      <c r="B68">
        <v>763666</v>
      </c>
      <c r="C68" t="s">
        <v>10</v>
      </c>
      <c r="D68">
        <v>1177</v>
      </c>
      <c r="E68" s="4">
        <v>44136</v>
      </c>
    </row>
    <row r="69" spans="1:5" x14ac:dyDescent="0.3">
      <c r="A69">
        <v>3</v>
      </c>
      <c r="B69">
        <v>216326</v>
      </c>
      <c r="C69" t="s">
        <v>10</v>
      </c>
      <c r="D69">
        <v>1614</v>
      </c>
      <c r="E69" s="4">
        <v>43922</v>
      </c>
    </row>
    <row r="70" spans="1:5" x14ac:dyDescent="0.3">
      <c r="A70">
        <v>3</v>
      </c>
      <c r="B70">
        <v>844763</v>
      </c>
      <c r="C70" t="s">
        <v>10</v>
      </c>
      <c r="D70">
        <v>2535</v>
      </c>
      <c r="E70" s="4">
        <v>43922</v>
      </c>
    </row>
    <row r="71" spans="1:5" x14ac:dyDescent="0.3">
      <c r="A71">
        <v>3</v>
      </c>
      <c r="B71">
        <v>408804</v>
      </c>
      <c r="C71" t="s">
        <v>10</v>
      </c>
      <c r="D71">
        <v>2559</v>
      </c>
      <c r="E71" s="4">
        <v>44044</v>
      </c>
    </row>
    <row r="72" spans="1:5" x14ac:dyDescent="0.3">
      <c r="A72">
        <v>3</v>
      </c>
      <c r="B72">
        <v>609851</v>
      </c>
      <c r="C72" t="s">
        <v>10</v>
      </c>
      <c r="D72">
        <v>267</v>
      </c>
      <c r="E72" s="4">
        <v>43739</v>
      </c>
    </row>
    <row r="73" spans="1:5" x14ac:dyDescent="0.3">
      <c r="A73">
        <v>3</v>
      </c>
      <c r="B73">
        <v>708450</v>
      </c>
      <c r="C73" t="s">
        <v>10</v>
      </c>
      <c r="D73">
        <v>2151</v>
      </c>
      <c r="E73" s="4">
        <v>43770</v>
      </c>
    </row>
    <row r="74" spans="1:5" x14ac:dyDescent="0.3">
      <c r="A74">
        <v>4</v>
      </c>
      <c r="B74">
        <v>640447</v>
      </c>
      <c r="C74" t="s">
        <v>10</v>
      </c>
      <c r="D74">
        <v>1006</v>
      </c>
      <c r="E74" s="4">
        <v>43983</v>
      </c>
    </row>
    <row r="75" spans="1:5" x14ac:dyDescent="0.3">
      <c r="A75">
        <v>4</v>
      </c>
      <c r="B75">
        <v>289811</v>
      </c>
      <c r="C75" t="s">
        <v>10</v>
      </c>
      <c r="D75">
        <v>1725</v>
      </c>
      <c r="E75" s="4">
        <v>43770</v>
      </c>
    </row>
    <row r="76" spans="1:5" x14ac:dyDescent="0.3">
      <c r="A76">
        <v>4</v>
      </c>
      <c r="B76">
        <v>481875</v>
      </c>
      <c r="C76" t="s">
        <v>10</v>
      </c>
      <c r="D76">
        <v>1817</v>
      </c>
      <c r="E76" s="4">
        <v>44166</v>
      </c>
    </row>
    <row r="77" spans="1:5" x14ac:dyDescent="0.3">
      <c r="A77">
        <v>4</v>
      </c>
      <c r="B77">
        <v>361305</v>
      </c>
      <c r="C77" t="s">
        <v>10</v>
      </c>
      <c r="D77">
        <v>3945</v>
      </c>
      <c r="E77" s="4">
        <v>43831</v>
      </c>
    </row>
    <row r="78" spans="1:5" x14ac:dyDescent="0.3">
      <c r="A78">
        <v>4</v>
      </c>
      <c r="B78">
        <v>579016</v>
      </c>
      <c r="C78" t="s">
        <v>10</v>
      </c>
      <c r="D78">
        <v>2296</v>
      </c>
      <c r="E78" s="4">
        <v>43862</v>
      </c>
    </row>
    <row r="79" spans="1:5" x14ac:dyDescent="0.3">
      <c r="A79">
        <v>4</v>
      </c>
      <c r="B79">
        <v>885205</v>
      </c>
      <c r="C79" t="s">
        <v>10</v>
      </c>
      <c r="D79">
        <v>727</v>
      </c>
      <c r="E79" s="4">
        <v>43983</v>
      </c>
    </row>
    <row r="80" spans="1:5" x14ac:dyDescent="0.3">
      <c r="A80">
        <v>4</v>
      </c>
      <c r="B80">
        <v>534742</v>
      </c>
      <c r="C80" t="s">
        <v>10</v>
      </c>
      <c r="D80">
        <v>1823</v>
      </c>
      <c r="E80" s="4">
        <v>44013</v>
      </c>
    </row>
    <row r="81" spans="1:5" x14ac:dyDescent="0.3">
      <c r="A81">
        <v>4</v>
      </c>
      <c r="B81">
        <v>160202</v>
      </c>
      <c r="C81" t="s">
        <v>10</v>
      </c>
      <c r="D81">
        <v>2905</v>
      </c>
      <c r="E81" s="4">
        <v>44136</v>
      </c>
    </row>
    <row r="82" spans="1:5" x14ac:dyDescent="0.3">
      <c r="A82">
        <v>4</v>
      </c>
      <c r="B82">
        <v>550816</v>
      </c>
      <c r="C82" t="s">
        <v>10</v>
      </c>
      <c r="D82">
        <v>2363</v>
      </c>
      <c r="E82" s="4">
        <v>43862</v>
      </c>
    </row>
    <row r="83" spans="1:5" x14ac:dyDescent="0.3">
      <c r="A83">
        <v>4</v>
      </c>
      <c r="B83">
        <v>776532</v>
      </c>
      <c r="C83" t="s">
        <v>10</v>
      </c>
      <c r="D83">
        <v>1295</v>
      </c>
      <c r="E83" s="4">
        <v>44105</v>
      </c>
    </row>
    <row r="84" spans="1:5" x14ac:dyDescent="0.3">
      <c r="A84">
        <v>4</v>
      </c>
      <c r="B84">
        <v>875012</v>
      </c>
      <c r="C84" t="s">
        <v>10</v>
      </c>
      <c r="D84">
        <v>809</v>
      </c>
      <c r="E84" s="4">
        <v>43739</v>
      </c>
    </row>
    <row r="85" spans="1:5" x14ac:dyDescent="0.3">
      <c r="A85">
        <v>4</v>
      </c>
      <c r="B85">
        <v>713958</v>
      </c>
      <c r="C85" t="s">
        <v>10</v>
      </c>
      <c r="D85">
        <v>1369.5</v>
      </c>
      <c r="E85" s="4">
        <v>44013</v>
      </c>
    </row>
    <row r="86" spans="1:5" x14ac:dyDescent="0.3">
      <c r="A86">
        <v>4</v>
      </c>
      <c r="B86">
        <v>872825</v>
      </c>
      <c r="C86" t="s">
        <v>10</v>
      </c>
      <c r="D86">
        <v>2031</v>
      </c>
      <c r="E86" s="4">
        <v>44105</v>
      </c>
    </row>
    <row r="87" spans="1:5" x14ac:dyDescent="0.3">
      <c r="A87">
        <v>4</v>
      </c>
      <c r="B87">
        <v>595670</v>
      </c>
      <c r="C87" t="s">
        <v>10</v>
      </c>
      <c r="D87">
        <v>1414.5</v>
      </c>
      <c r="E87" s="4">
        <v>43922</v>
      </c>
    </row>
    <row r="88" spans="1:5" x14ac:dyDescent="0.3">
      <c r="A88">
        <v>4</v>
      </c>
      <c r="B88">
        <v>726489</v>
      </c>
      <c r="C88" t="s">
        <v>10</v>
      </c>
      <c r="D88">
        <v>2385</v>
      </c>
      <c r="E88" s="4">
        <v>43891</v>
      </c>
    </row>
    <row r="89" spans="1:5" x14ac:dyDescent="0.3">
      <c r="A89">
        <v>4</v>
      </c>
      <c r="B89">
        <v>560581</v>
      </c>
      <c r="C89" t="s">
        <v>10</v>
      </c>
      <c r="D89">
        <v>991</v>
      </c>
      <c r="E89" s="4">
        <v>43983</v>
      </c>
    </row>
    <row r="90" spans="1:5" x14ac:dyDescent="0.3">
      <c r="A90">
        <v>4</v>
      </c>
      <c r="B90">
        <v>348194</v>
      </c>
      <c r="C90" t="s">
        <v>10</v>
      </c>
      <c r="D90">
        <v>1802</v>
      </c>
      <c r="E90" s="4">
        <v>43800</v>
      </c>
    </row>
    <row r="91" spans="1:5" x14ac:dyDescent="0.3">
      <c r="A91">
        <v>4</v>
      </c>
      <c r="B91">
        <v>444225</v>
      </c>
      <c r="C91" t="s">
        <v>10</v>
      </c>
      <c r="D91">
        <v>2663</v>
      </c>
      <c r="E91" s="4">
        <v>44166</v>
      </c>
    </row>
    <row r="92" spans="1:5" x14ac:dyDescent="0.3">
      <c r="A92">
        <v>4</v>
      </c>
      <c r="B92">
        <v>685544</v>
      </c>
      <c r="C92" t="s">
        <v>10</v>
      </c>
      <c r="D92">
        <v>2136</v>
      </c>
      <c r="E92" s="4">
        <v>43800</v>
      </c>
    </row>
    <row r="93" spans="1:5" x14ac:dyDescent="0.3">
      <c r="A93">
        <v>4</v>
      </c>
      <c r="B93">
        <v>796346</v>
      </c>
      <c r="C93" t="s">
        <v>10</v>
      </c>
      <c r="D93">
        <v>1743</v>
      </c>
      <c r="E93" s="4">
        <v>44044</v>
      </c>
    </row>
    <row r="94" spans="1:5" x14ac:dyDescent="0.3">
      <c r="A94">
        <v>4</v>
      </c>
      <c r="B94">
        <v>676135</v>
      </c>
      <c r="C94" t="s">
        <v>10</v>
      </c>
      <c r="D94">
        <v>1757</v>
      </c>
      <c r="E94" s="4">
        <v>43739</v>
      </c>
    </row>
    <row r="95" spans="1:5" x14ac:dyDescent="0.3">
      <c r="A95">
        <v>4</v>
      </c>
      <c r="B95">
        <v>459019</v>
      </c>
      <c r="C95" t="s">
        <v>10</v>
      </c>
      <c r="D95">
        <v>3513</v>
      </c>
      <c r="E95" s="4">
        <v>44013</v>
      </c>
    </row>
    <row r="96" spans="1:5" x14ac:dyDescent="0.3">
      <c r="A96">
        <v>4</v>
      </c>
      <c r="B96">
        <v>686090</v>
      </c>
      <c r="C96" t="s">
        <v>10</v>
      </c>
      <c r="D96">
        <v>1114</v>
      </c>
      <c r="E96" s="4">
        <v>43891</v>
      </c>
    </row>
    <row r="97" spans="1:5" x14ac:dyDescent="0.3">
      <c r="A97">
        <v>4</v>
      </c>
      <c r="B97">
        <v>307196</v>
      </c>
      <c r="C97" t="s">
        <v>10</v>
      </c>
      <c r="D97">
        <v>2797</v>
      </c>
      <c r="E97" s="4">
        <v>44166</v>
      </c>
    </row>
    <row r="98" spans="1:5" x14ac:dyDescent="0.3">
      <c r="A98">
        <v>4</v>
      </c>
      <c r="B98">
        <v>429472</v>
      </c>
      <c r="C98" t="s">
        <v>10</v>
      </c>
      <c r="D98">
        <v>1038</v>
      </c>
      <c r="E98" s="4">
        <v>43983</v>
      </c>
    </row>
    <row r="99" spans="1:5" x14ac:dyDescent="0.3">
      <c r="A99">
        <v>4</v>
      </c>
      <c r="B99">
        <v>197639</v>
      </c>
      <c r="C99" t="s">
        <v>10</v>
      </c>
      <c r="D99">
        <v>591</v>
      </c>
      <c r="E99" s="4">
        <v>43952</v>
      </c>
    </row>
    <row r="100" spans="1:5" x14ac:dyDescent="0.3">
      <c r="A100">
        <v>4</v>
      </c>
      <c r="B100">
        <v>466133</v>
      </c>
      <c r="C100" t="s">
        <v>10</v>
      </c>
      <c r="D100">
        <v>2394</v>
      </c>
      <c r="E100" s="4">
        <v>44044</v>
      </c>
    </row>
    <row r="101" spans="1:5" x14ac:dyDescent="0.3">
      <c r="A101">
        <v>4</v>
      </c>
      <c r="B101">
        <v>737790</v>
      </c>
      <c r="C101" t="s">
        <v>10</v>
      </c>
      <c r="D101">
        <v>380</v>
      </c>
      <c r="E101" s="4">
        <v>43800</v>
      </c>
    </row>
    <row r="102" spans="1:5" x14ac:dyDescent="0.3">
      <c r="A102">
        <v>4</v>
      </c>
      <c r="B102">
        <v>670662</v>
      </c>
      <c r="C102" t="s">
        <v>10</v>
      </c>
      <c r="D102">
        <v>1583</v>
      </c>
      <c r="E102" s="4">
        <v>43983</v>
      </c>
    </row>
    <row r="103" spans="1:5" x14ac:dyDescent="0.3">
      <c r="A103">
        <v>4</v>
      </c>
      <c r="B103">
        <v>868182</v>
      </c>
      <c r="C103" t="s">
        <v>10</v>
      </c>
      <c r="D103">
        <v>571</v>
      </c>
      <c r="E103" s="4">
        <v>44013</v>
      </c>
    </row>
    <row r="104" spans="1:5" x14ac:dyDescent="0.3">
      <c r="A104">
        <v>4</v>
      </c>
      <c r="B104">
        <v>721092</v>
      </c>
      <c r="C104" t="s">
        <v>10</v>
      </c>
      <c r="D104">
        <v>1013</v>
      </c>
      <c r="E104" s="4">
        <v>44166</v>
      </c>
    </row>
    <row r="105" spans="1:5" x14ac:dyDescent="0.3">
      <c r="A105">
        <v>4</v>
      </c>
      <c r="B105">
        <v>442121</v>
      </c>
      <c r="C105" t="s">
        <v>10</v>
      </c>
      <c r="D105">
        <v>2428</v>
      </c>
      <c r="E105" s="4">
        <v>43891</v>
      </c>
    </row>
    <row r="106" spans="1:5" x14ac:dyDescent="0.3">
      <c r="A106">
        <v>4</v>
      </c>
      <c r="B106">
        <v>544855</v>
      </c>
      <c r="C106" t="s">
        <v>10</v>
      </c>
      <c r="D106">
        <v>1767</v>
      </c>
      <c r="E106" s="4">
        <v>44075</v>
      </c>
    </row>
    <row r="107" spans="1:5" x14ac:dyDescent="0.3">
      <c r="A107">
        <v>4</v>
      </c>
      <c r="B107">
        <v>754823</v>
      </c>
      <c r="C107" t="s">
        <v>10</v>
      </c>
      <c r="D107">
        <v>2222</v>
      </c>
      <c r="E107" s="4">
        <v>43770</v>
      </c>
    </row>
    <row r="108" spans="1:5" x14ac:dyDescent="0.3">
      <c r="A108">
        <v>4</v>
      </c>
      <c r="B108">
        <v>690780</v>
      </c>
      <c r="C108" t="s">
        <v>10</v>
      </c>
      <c r="D108">
        <v>1158</v>
      </c>
      <c r="E108" s="4">
        <v>43891</v>
      </c>
    </row>
    <row r="109" spans="1:5" x14ac:dyDescent="0.3">
      <c r="A109">
        <v>4</v>
      </c>
      <c r="B109">
        <v>251968</v>
      </c>
      <c r="C109" t="s">
        <v>10</v>
      </c>
      <c r="D109">
        <v>2851</v>
      </c>
      <c r="E109" s="4">
        <v>43952</v>
      </c>
    </row>
    <row r="110" spans="1:5" x14ac:dyDescent="0.3">
      <c r="A110">
        <v>4</v>
      </c>
      <c r="B110">
        <v>809091</v>
      </c>
      <c r="C110" t="s">
        <v>10</v>
      </c>
      <c r="D110">
        <v>293</v>
      </c>
      <c r="E110" s="4">
        <v>44166</v>
      </c>
    </row>
    <row r="111" spans="1:5" x14ac:dyDescent="0.3">
      <c r="A111">
        <v>4</v>
      </c>
      <c r="B111">
        <v>170761</v>
      </c>
      <c r="C111" t="s">
        <v>10</v>
      </c>
      <c r="D111">
        <v>723</v>
      </c>
      <c r="E111" s="4">
        <v>43922</v>
      </c>
    </row>
    <row r="112" spans="1:5" x14ac:dyDescent="0.3">
      <c r="A112">
        <v>2</v>
      </c>
      <c r="B112">
        <v>898637</v>
      </c>
      <c r="C112" t="s">
        <v>10</v>
      </c>
      <c r="D112">
        <v>367</v>
      </c>
      <c r="E112" s="4">
        <v>44013</v>
      </c>
    </row>
    <row r="113" spans="1:5" x14ac:dyDescent="0.3">
      <c r="A113">
        <v>2</v>
      </c>
      <c r="B113">
        <v>308620</v>
      </c>
      <c r="C113" t="s">
        <v>10</v>
      </c>
      <c r="D113">
        <v>1143</v>
      </c>
      <c r="E113" s="4">
        <v>44105</v>
      </c>
    </row>
    <row r="114" spans="1:5" x14ac:dyDescent="0.3">
      <c r="A114">
        <v>2</v>
      </c>
      <c r="B114">
        <v>320688</v>
      </c>
      <c r="C114" t="s">
        <v>10</v>
      </c>
      <c r="D114">
        <v>747</v>
      </c>
      <c r="E114" s="4">
        <v>44075</v>
      </c>
    </row>
    <row r="115" spans="1:5" x14ac:dyDescent="0.3">
      <c r="A115">
        <v>2</v>
      </c>
      <c r="B115">
        <v>306694</v>
      </c>
      <c r="C115" t="s">
        <v>10</v>
      </c>
      <c r="D115">
        <v>2729</v>
      </c>
      <c r="E115" s="4">
        <v>44166</v>
      </c>
    </row>
    <row r="116" spans="1:5" x14ac:dyDescent="0.3">
      <c r="A116">
        <v>2</v>
      </c>
      <c r="B116">
        <v>859158</v>
      </c>
      <c r="C116" t="s">
        <v>10</v>
      </c>
      <c r="D116">
        <v>2434.5</v>
      </c>
      <c r="E116" s="4">
        <v>43831</v>
      </c>
    </row>
    <row r="117" spans="1:5" x14ac:dyDescent="0.3">
      <c r="A117">
        <v>2</v>
      </c>
      <c r="B117">
        <v>164895</v>
      </c>
      <c r="C117" t="s">
        <v>10</v>
      </c>
      <c r="D117">
        <v>2009</v>
      </c>
      <c r="E117" s="4">
        <v>44105</v>
      </c>
    </row>
    <row r="118" spans="1:5" x14ac:dyDescent="0.3">
      <c r="A118">
        <v>2</v>
      </c>
      <c r="B118">
        <v>455780</v>
      </c>
      <c r="C118" t="s">
        <v>10</v>
      </c>
      <c r="D118">
        <v>1287</v>
      </c>
      <c r="E118" s="4">
        <v>44166</v>
      </c>
    </row>
    <row r="119" spans="1:5" x14ac:dyDescent="0.3">
      <c r="A119">
        <v>2</v>
      </c>
      <c r="B119">
        <v>566401</v>
      </c>
      <c r="C119" t="s">
        <v>10</v>
      </c>
      <c r="D119">
        <v>1706</v>
      </c>
      <c r="E119" s="4">
        <v>44166</v>
      </c>
    </row>
    <row r="120" spans="1:5" x14ac:dyDescent="0.3">
      <c r="A120">
        <v>2</v>
      </c>
      <c r="B120">
        <v>738910</v>
      </c>
      <c r="C120" t="s">
        <v>10</v>
      </c>
      <c r="D120">
        <v>2261</v>
      </c>
      <c r="E120" s="4">
        <v>43800</v>
      </c>
    </row>
    <row r="121" spans="1:5" x14ac:dyDescent="0.3">
      <c r="A121">
        <v>2</v>
      </c>
      <c r="B121">
        <v>776513</v>
      </c>
      <c r="C121" t="s">
        <v>10</v>
      </c>
      <c r="D121">
        <v>795</v>
      </c>
      <c r="E121" s="4">
        <v>43891</v>
      </c>
    </row>
    <row r="122" spans="1:5" x14ac:dyDescent="0.3">
      <c r="A122">
        <v>2</v>
      </c>
      <c r="B122">
        <v>824253</v>
      </c>
      <c r="C122" t="s">
        <v>10</v>
      </c>
      <c r="D122">
        <v>3450</v>
      </c>
      <c r="E122" s="4">
        <v>44013</v>
      </c>
    </row>
    <row r="123" spans="1:5" x14ac:dyDescent="0.3">
      <c r="A123">
        <v>2</v>
      </c>
      <c r="B123">
        <v>678731</v>
      </c>
      <c r="C123" t="s">
        <v>10</v>
      </c>
      <c r="D123">
        <v>2349</v>
      </c>
      <c r="E123" s="4">
        <v>43709</v>
      </c>
    </row>
    <row r="124" spans="1:5" x14ac:dyDescent="0.3">
      <c r="A124">
        <v>2</v>
      </c>
      <c r="B124">
        <v>369627</v>
      </c>
      <c r="C124" t="s">
        <v>10</v>
      </c>
      <c r="D124">
        <v>602</v>
      </c>
      <c r="E124" s="4">
        <v>43983</v>
      </c>
    </row>
    <row r="125" spans="1:5" x14ac:dyDescent="0.3">
      <c r="A125">
        <v>2</v>
      </c>
      <c r="B125">
        <v>603195</v>
      </c>
      <c r="C125" t="s">
        <v>10</v>
      </c>
      <c r="D125">
        <v>3801</v>
      </c>
      <c r="E125" s="4">
        <v>43922</v>
      </c>
    </row>
    <row r="126" spans="1:5" x14ac:dyDescent="0.3">
      <c r="A126">
        <v>2</v>
      </c>
      <c r="B126">
        <v>203608</v>
      </c>
      <c r="C126" t="s">
        <v>10</v>
      </c>
      <c r="D126">
        <v>1153</v>
      </c>
      <c r="E126" s="4">
        <v>44105</v>
      </c>
    </row>
    <row r="127" spans="1:5" x14ac:dyDescent="0.3">
      <c r="A127">
        <v>2</v>
      </c>
      <c r="B127">
        <v>898591</v>
      </c>
      <c r="C127" t="s">
        <v>10</v>
      </c>
      <c r="D127">
        <v>1123</v>
      </c>
      <c r="E127" s="4">
        <v>43709</v>
      </c>
    </row>
    <row r="128" spans="1:5" x14ac:dyDescent="0.3">
      <c r="A128">
        <v>2</v>
      </c>
      <c r="B128">
        <v>566983</v>
      </c>
      <c r="C128" t="s">
        <v>10</v>
      </c>
      <c r="D128">
        <v>257</v>
      </c>
      <c r="E128" s="4">
        <v>43952</v>
      </c>
    </row>
    <row r="129" spans="1:5" x14ac:dyDescent="0.3">
      <c r="A129">
        <v>2</v>
      </c>
      <c r="B129">
        <v>334678</v>
      </c>
      <c r="C129" t="s">
        <v>10</v>
      </c>
      <c r="D129">
        <v>2565</v>
      </c>
      <c r="E129" s="4">
        <v>43831</v>
      </c>
    </row>
    <row r="130" spans="1:5" x14ac:dyDescent="0.3">
      <c r="A130">
        <v>2</v>
      </c>
      <c r="B130">
        <v>643111</v>
      </c>
      <c r="C130" t="s">
        <v>10</v>
      </c>
      <c r="D130">
        <v>3675</v>
      </c>
      <c r="E130" s="4">
        <v>43922</v>
      </c>
    </row>
    <row r="131" spans="1:5" x14ac:dyDescent="0.3">
      <c r="A131">
        <v>2</v>
      </c>
      <c r="B131">
        <v>266313</v>
      </c>
      <c r="C131" t="s">
        <v>10</v>
      </c>
      <c r="D131">
        <v>367</v>
      </c>
      <c r="E131" s="4">
        <v>43739</v>
      </c>
    </row>
    <row r="132" spans="1:5" x14ac:dyDescent="0.3">
      <c r="A132">
        <v>2</v>
      </c>
      <c r="B132">
        <v>205484</v>
      </c>
      <c r="C132" t="s">
        <v>10</v>
      </c>
      <c r="D132">
        <v>1324</v>
      </c>
      <c r="E132" s="4">
        <v>44136</v>
      </c>
    </row>
    <row r="133" spans="1:5" x14ac:dyDescent="0.3">
      <c r="A133">
        <v>2</v>
      </c>
      <c r="B133">
        <v>336267</v>
      </c>
      <c r="C133" t="s">
        <v>10</v>
      </c>
      <c r="D133">
        <v>360</v>
      </c>
      <c r="E133" s="4">
        <v>44105</v>
      </c>
    </row>
    <row r="134" spans="1:5" x14ac:dyDescent="0.3">
      <c r="A134">
        <v>2</v>
      </c>
      <c r="B134">
        <v>146841</v>
      </c>
      <c r="C134" t="s">
        <v>10</v>
      </c>
      <c r="D134">
        <v>2425.5</v>
      </c>
      <c r="E134" s="4">
        <v>44013</v>
      </c>
    </row>
    <row r="135" spans="1:5" x14ac:dyDescent="0.3">
      <c r="A135">
        <v>2</v>
      </c>
      <c r="B135">
        <v>440377</v>
      </c>
      <c r="C135" t="s">
        <v>10</v>
      </c>
      <c r="D135">
        <v>2992</v>
      </c>
      <c r="E135" s="4">
        <v>43739</v>
      </c>
    </row>
    <row r="136" spans="1:5" x14ac:dyDescent="0.3">
      <c r="A136">
        <v>2</v>
      </c>
      <c r="B136">
        <v>628402</v>
      </c>
      <c r="C136" t="s">
        <v>10</v>
      </c>
      <c r="D136">
        <v>3495</v>
      </c>
      <c r="E136" s="4">
        <v>43831</v>
      </c>
    </row>
    <row r="137" spans="1:5" x14ac:dyDescent="0.3">
      <c r="A137">
        <v>2</v>
      </c>
      <c r="B137">
        <v>885201</v>
      </c>
      <c r="C137" t="s">
        <v>10</v>
      </c>
      <c r="D137">
        <v>1715</v>
      </c>
      <c r="E137" s="4">
        <v>43739</v>
      </c>
    </row>
    <row r="138" spans="1:5" x14ac:dyDescent="0.3">
      <c r="A138">
        <v>2</v>
      </c>
      <c r="B138">
        <v>259455</v>
      </c>
      <c r="C138" t="s">
        <v>10</v>
      </c>
      <c r="D138">
        <v>1359</v>
      </c>
      <c r="E138" s="4">
        <v>44136</v>
      </c>
    </row>
    <row r="139" spans="1:5" x14ac:dyDescent="0.3">
      <c r="A139">
        <v>2</v>
      </c>
      <c r="B139">
        <v>389356</v>
      </c>
      <c r="C139" t="s">
        <v>10</v>
      </c>
      <c r="D139">
        <v>2150</v>
      </c>
      <c r="E139" s="4">
        <v>44136</v>
      </c>
    </row>
    <row r="140" spans="1:5" x14ac:dyDescent="0.3">
      <c r="A140">
        <v>2</v>
      </c>
      <c r="B140">
        <v>209116</v>
      </c>
      <c r="C140" t="s">
        <v>10</v>
      </c>
      <c r="D140">
        <v>2708</v>
      </c>
      <c r="E140" s="4">
        <v>43862</v>
      </c>
    </row>
    <row r="141" spans="1:5" x14ac:dyDescent="0.3">
      <c r="A141">
        <v>2</v>
      </c>
      <c r="B141">
        <v>123693</v>
      </c>
      <c r="C141" t="s">
        <v>10</v>
      </c>
      <c r="D141">
        <v>2632</v>
      </c>
      <c r="E141" s="4">
        <v>43983</v>
      </c>
    </row>
    <row r="142" spans="1:5" x14ac:dyDescent="0.3">
      <c r="A142">
        <v>2</v>
      </c>
      <c r="B142">
        <v>158597</v>
      </c>
      <c r="C142" t="s">
        <v>10</v>
      </c>
      <c r="D142">
        <v>1393</v>
      </c>
      <c r="E142" s="4">
        <v>44105</v>
      </c>
    </row>
    <row r="143" spans="1:5" x14ac:dyDescent="0.3">
      <c r="A143">
        <v>2</v>
      </c>
      <c r="B143">
        <v>520865</v>
      </c>
      <c r="C143" t="s">
        <v>10</v>
      </c>
      <c r="D143">
        <v>1743</v>
      </c>
      <c r="E143" s="4">
        <v>43739</v>
      </c>
    </row>
    <row r="144" spans="1:5" x14ac:dyDescent="0.3">
      <c r="A144">
        <v>2</v>
      </c>
      <c r="B144">
        <v>429735</v>
      </c>
      <c r="C144" t="s">
        <v>10</v>
      </c>
      <c r="D144">
        <v>1731</v>
      </c>
      <c r="E144" s="4">
        <v>44105</v>
      </c>
    </row>
    <row r="145" spans="1:5" x14ac:dyDescent="0.3">
      <c r="A145">
        <v>2</v>
      </c>
      <c r="B145">
        <v>332447</v>
      </c>
      <c r="C145" t="s">
        <v>10</v>
      </c>
      <c r="D145">
        <v>1085</v>
      </c>
      <c r="E145" s="4">
        <v>44105</v>
      </c>
    </row>
    <row r="146" spans="1:5" x14ac:dyDescent="0.3">
      <c r="A146">
        <v>2</v>
      </c>
      <c r="B146">
        <v>837170</v>
      </c>
      <c r="C146" t="s">
        <v>10</v>
      </c>
      <c r="D146">
        <v>1175</v>
      </c>
      <c r="E146" s="4">
        <v>44105</v>
      </c>
    </row>
    <row r="147" spans="1:5" x14ac:dyDescent="0.3">
      <c r="A147">
        <v>5</v>
      </c>
      <c r="B147">
        <v>889571</v>
      </c>
      <c r="C147" t="s">
        <v>10</v>
      </c>
      <c r="D147">
        <v>883</v>
      </c>
      <c r="E147" s="4">
        <v>44044</v>
      </c>
    </row>
    <row r="148" spans="1:5" x14ac:dyDescent="0.3">
      <c r="A148">
        <v>5</v>
      </c>
      <c r="B148">
        <v>505339</v>
      </c>
      <c r="C148" t="s">
        <v>10</v>
      </c>
      <c r="D148">
        <v>788</v>
      </c>
      <c r="E148" s="4">
        <v>43709</v>
      </c>
    </row>
    <row r="149" spans="1:5" x14ac:dyDescent="0.3">
      <c r="A149">
        <v>5</v>
      </c>
      <c r="B149">
        <v>703997</v>
      </c>
      <c r="C149" t="s">
        <v>10</v>
      </c>
      <c r="D149">
        <v>2472</v>
      </c>
      <c r="E149" s="4">
        <v>44075</v>
      </c>
    </row>
    <row r="150" spans="1:5" x14ac:dyDescent="0.3">
      <c r="A150">
        <v>5</v>
      </c>
      <c r="B150">
        <v>529550</v>
      </c>
      <c r="C150" t="s">
        <v>10</v>
      </c>
      <c r="D150">
        <v>2152</v>
      </c>
      <c r="E150" s="4">
        <v>43800</v>
      </c>
    </row>
    <row r="151" spans="1:5" x14ac:dyDescent="0.3">
      <c r="A151">
        <v>5</v>
      </c>
      <c r="B151">
        <v>283378</v>
      </c>
      <c r="C151" t="s">
        <v>10</v>
      </c>
      <c r="D151">
        <v>4492.5</v>
      </c>
      <c r="E151" s="4">
        <v>43922</v>
      </c>
    </row>
    <row r="152" spans="1:5" x14ac:dyDescent="0.3">
      <c r="A152">
        <v>5</v>
      </c>
      <c r="B152">
        <v>238791</v>
      </c>
      <c r="C152" t="s">
        <v>10</v>
      </c>
      <c r="D152">
        <v>766</v>
      </c>
      <c r="E152" s="4">
        <v>43739</v>
      </c>
    </row>
    <row r="153" spans="1:5" x14ac:dyDescent="0.3">
      <c r="A153">
        <v>5</v>
      </c>
      <c r="B153">
        <v>770750</v>
      </c>
      <c r="C153" t="s">
        <v>10</v>
      </c>
      <c r="D153">
        <v>918</v>
      </c>
      <c r="E153" s="4">
        <v>43952</v>
      </c>
    </row>
    <row r="154" spans="1:5" x14ac:dyDescent="0.3">
      <c r="A154">
        <v>5</v>
      </c>
      <c r="B154">
        <v>847203</v>
      </c>
      <c r="C154" t="s">
        <v>10</v>
      </c>
      <c r="D154">
        <v>662</v>
      </c>
      <c r="E154" s="4">
        <v>43983</v>
      </c>
    </row>
    <row r="155" spans="1:5" x14ac:dyDescent="0.3">
      <c r="A155">
        <v>5</v>
      </c>
      <c r="B155">
        <v>778039</v>
      </c>
      <c r="C155" t="s">
        <v>10</v>
      </c>
      <c r="D155">
        <v>1916</v>
      </c>
      <c r="E155" s="4">
        <v>44166</v>
      </c>
    </row>
    <row r="156" spans="1:5" x14ac:dyDescent="0.3">
      <c r="A156">
        <v>5</v>
      </c>
      <c r="B156">
        <v>177011</v>
      </c>
      <c r="C156" t="s">
        <v>10</v>
      </c>
      <c r="D156">
        <v>2852</v>
      </c>
      <c r="E156" s="4">
        <v>44166</v>
      </c>
    </row>
    <row r="157" spans="1:5" x14ac:dyDescent="0.3">
      <c r="A157">
        <v>5</v>
      </c>
      <c r="B157">
        <v>793514</v>
      </c>
      <c r="C157" t="s">
        <v>10</v>
      </c>
      <c r="D157">
        <v>1925</v>
      </c>
      <c r="E157" s="4">
        <v>43800</v>
      </c>
    </row>
    <row r="158" spans="1:5" x14ac:dyDescent="0.3">
      <c r="A158">
        <v>5</v>
      </c>
      <c r="B158">
        <v>531834</v>
      </c>
      <c r="C158" t="s">
        <v>10</v>
      </c>
      <c r="D158">
        <v>1055</v>
      </c>
      <c r="E158" s="4">
        <v>44166</v>
      </c>
    </row>
    <row r="159" spans="1:5" x14ac:dyDescent="0.3">
      <c r="A159">
        <v>5</v>
      </c>
      <c r="B159">
        <v>436748</v>
      </c>
      <c r="C159" t="s">
        <v>10</v>
      </c>
      <c r="D159">
        <v>1056</v>
      </c>
      <c r="E159" s="4">
        <v>44075</v>
      </c>
    </row>
    <row r="160" spans="1:5" x14ac:dyDescent="0.3">
      <c r="A160">
        <v>5</v>
      </c>
      <c r="B160">
        <v>335658</v>
      </c>
      <c r="C160" t="s">
        <v>10</v>
      </c>
      <c r="D160">
        <v>2689</v>
      </c>
      <c r="E160" s="4">
        <v>44105</v>
      </c>
    </row>
    <row r="161" spans="1:5" x14ac:dyDescent="0.3">
      <c r="A161">
        <v>5</v>
      </c>
      <c r="B161">
        <v>115582</v>
      </c>
      <c r="C161" t="s">
        <v>10</v>
      </c>
      <c r="D161">
        <v>2431</v>
      </c>
      <c r="E161" s="4">
        <v>44166</v>
      </c>
    </row>
    <row r="162" spans="1:5" x14ac:dyDescent="0.3">
      <c r="A162">
        <v>5</v>
      </c>
      <c r="B162">
        <v>833644</v>
      </c>
      <c r="C162" t="s">
        <v>10</v>
      </c>
      <c r="D162">
        <v>1303</v>
      </c>
      <c r="E162" s="4">
        <v>43862</v>
      </c>
    </row>
    <row r="163" spans="1:5" x14ac:dyDescent="0.3">
      <c r="A163">
        <v>5</v>
      </c>
      <c r="B163">
        <v>587035</v>
      </c>
      <c r="C163" t="s">
        <v>10</v>
      </c>
      <c r="D163">
        <v>2620</v>
      </c>
      <c r="E163" s="4">
        <v>44075</v>
      </c>
    </row>
    <row r="164" spans="1:5" x14ac:dyDescent="0.3">
      <c r="A164">
        <v>5</v>
      </c>
      <c r="B164">
        <v>758323</v>
      </c>
      <c r="C164" t="s">
        <v>10</v>
      </c>
      <c r="D164">
        <v>727</v>
      </c>
      <c r="E164" s="4">
        <v>43739</v>
      </c>
    </row>
    <row r="165" spans="1:5" x14ac:dyDescent="0.3">
      <c r="A165">
        <v>5</v>
      </c>
      <c r="B165">
        <v>126864</v>
      </c>
      <c r="C165" t="s">
        <v>10</v>
      </c>
      <c r="D165">
        <v>2101</v>
      </c>
      <c r="E165" s="4">
        <v>44044</v>
      </c>
    </row>
    <row r="166" spans="1:5" x14ac:dyDescent="0.3">
      <c r="A166">
        <v>5</v>
      </c>
      <c r="B166">
        <v>854455</v>
      </c>
      <c r="C166" t="s">
        <v>10</v>
      </c>
      <c r="D166">
        <v>2931</v>
      </c>
      <c r="E166" s="4">
        <v>43709</v>
      </c>
    </row>
    <row r="167" spans="1:5" x14ac:dyDescent="0.3">
      <c r="A167">
        <v>5</v>
      </c>
      <c r="B167">
        <v>867252</v>
      </c>
      <c r="C167" t="s">
        <v>10</v>
      </c>
      <c r="D167">
        <v>2763</v>
      </c>
      <c r="E167" s="4">
        <v>43770</v>
      </c>
    </row>
    <row r="168" spans="1:5" x14ac:dyDescent="0.3">
      <c r="A168">
        <v>5</v>
      </c>
      <c r="B168">
        <v>278950</v>
      </c>
      <c r="C168" t="s">
        <v>10</v>
      </c>
      <c r="D168">
        <v>1095</v>
      </c>
      <c r="E168" s="4">
        <v>43952</v>
      </c>
    </row>
    <row r="169" spans="1:5" x14ac:dyDescent="0.3">
      <c r="A169">
        <v>5</v>
      </c>
      <c r="B169">
        <v>456841</v>
      </c>
      <c r="C169" t="s">
        <v>10</v>
      </c>
      <c r="D169">
        <v>678</v>
      </c>
      <c r="E169" s="4">
        <v>44044</v>
      </c>
    </row>
    <row r="170" spans="1:5" x14ac:dyDescent="0.3">
      <c r="A170">
        <v>5</v>
      </c>
      <c r="B170">
        <v>816536</v>
      </c>
      <c r="C170" t="s">
        <v>10</v>
      </c>
      <c r="D170">
        <v>1362</v>
      </c>
      <c r="E170" s="4">
        <v>44166</v>
      </c>
    </row>
    <row r="171" spans="1:5" x14ac:dyDescent="0.3">
      <c r="A171">
        <v>5</v>
      </c>
      <c r="B171">
        <v>527753</v>
      </c>
      <c r="C171" t="s">
        <v>10</v>
      </c>
      <c r="D171">
        <v>2417</v>
      </c>
      <c r="E171" s="4">
        <v>43831</v>
      </c>
    </row>
    <row r="172" spans="1:5" x14ac:dyDescent="0.3">
      <c r="A172">
        <v>5</v>
      </c>
      <c r="B172">
        <v>529578</v>
      </c>
      <c r="C172" t="s">
        <v>10</v>
      </c>
      <c r="D172">
        <v>1094</v>
      </c>
      <c r="E172" s="4">
        <v>43983</v>
      </c>
    </row>
    <row r="173" spans="1:5" x14ac:dyDescent="0.3">
      <c r="A173">
        <v>5</v>
      </c>
      <c r="B173">
        <v>123431</v>
      </c>
      <c r="C173" t="s">
        <v>10</v>
      </c>
      <c r="D173">
        <v>973</v>
      </c>
      <c r="E173" s="4">
        <v>43891</v>
      </c>
    </row>
    <row r="174" spans="1:5" x14ac:dyDescent="0.3">
      <c r="A174">
        <v>5</v>
      </c>
      <c r="B174">
        <v>761356</v>
      </c>
      <c r="C174" t="s">
        <v>10</v>
      </c>
      <c r="D174">
        <v>1954</v>
      </c>
      <c r="E174" s="4">
        <v>43891</v>
      </c>
    </row>
    <row r="175" spans="1:5" x14ac:dyDescent="0.3">
      <c r="A175">
        <v>5</v>
      </c>
      <c r="B175">
        <v>249663</v>
      </c>
      <c r="C175" t="s">
        <v>10</v>
      </c>
      <c r="D175">
        <v>886</v>
      </c>
      <c r="E175" s="4">
        <v>43983</v>
      </c>
    </row>
    <row r="176" spans="1:5" x14ac:dyDescent="0.3">
      <c r="A176">
        <v>5</v>
      </c>
      <c r="B176">
        <v>714255</v>
      </c>
      <c r="C176" t="s">
        <v>10</v>
      </c>
      <c r="D176">
        <v>2156</v>
      </c>
      <c r="E176" s="4">
        <v>44105</v>
      </c>
    </row>
    <row r="177" spans="1:5" x14ac:dyDescent="0.3">
      <c r="A177">
        <v>5</v>
      </c>
      <c r="B177">
        <v>559510</v>
      </c>
      <c r="C177" t="s">
        <v>10</v>
      </c>
      <c r="D177">
        <v>1594</v>
      </c>
      <c r="E177" s="4">
        <v>44136</v>
      </c>
    </row>
    <row r="178" spans="1:5" x14ac:dyDescent="0.3">
      <c r="A178">
        <v>5</v>
      </c>
      <c r="B178">
        <v>514463</v>
      </c>
      <c r="C178" t="s">
        <v>10</v>
      </c>
      <c r="D178">
        <v>1233</v>
      </c>
      <c r="E178" s="4">
        <v>44166</v>
      </c>
    </row>
    <row r="179" spans="1:5" x14ac:dyDescent="0.3">
      <c r="A179">
        <v>5</v>
      </c>
      <c r="B179">
        <v>608863</v>
      </c>
      <c r="C179" t="s">
        <v>10</v>
      </c>
      <c r="D179">
        <v>807</v>
      </c>
      <c r="E179" s="4">
        <v>43831</v>
      </c>
    </row>
    <row r="180" spans="1:5" x14ac:dyDescent="0.3">
      <c r="A180">
        <v>5</v>
      </c>
      <c r="B180">
        <v>626543</v>
      </c>
      <c r="C180" t="s">
        <v>10</v>
      </c>
      <c r="D180">
        <v>1565</v>
      </c>
      <c r="E180" s="4">
        <v>44105</v>
      </c>
    </row>
    <row r="181" spans="1:5" x14ac:dyDescent="0.3">
      <c r="A181">
        <v>5</v>
      </c>
      <c r="B181">
        <v>778322</v>
      </c>
      <c r="C181" t="s">
        <v>10</v>
      </c>
      <c r="D181">
        <v>700</v>
      </c>
      <c r="E181" s="4">
        <v>44136</v>
      </c>
    </row>
    <row r="182" spans="1:5" x14ac:dyDescent="0.3">
      <c r="A182">
        <v>5</v>
      </c>
      <c r="B182">
        <v>364025</v>
      </c>
      <c r="C182" t="s">
        <v>10</v>
      </c>
      <c r="D182">
        <v>1922</v>
      </c>
      <c r="E182" s="4">
        <v>43770</v>
      </c>
    </row>
    <row r="183" spans="1:5" x14ac:dyDescent="0.3">
      <c r="A183">
        <v>5</v>
      </c>
      <c r="B183">
        <v>117162</v>
      </c>
      <c r="C183" t="s">
        <v>10</v>
      </c>
      <c r="D183">
        <v>2007</v>
      </c>
      <c r="E183" s="4">
        <v>43770</v>
      </c>
    </row>
    <row r="184" spans="1:5" x14ac:dyDescent="0.3">
      <c r="A184">
        <v>5</v>
      </c>
      <c r="B184">
        <v>855262</v>
      </c>
      <c r="C184" t="s">
        <v>10</v>
      </c>
      <c r="D184">
        <v>914</v>
      </c>
      <c r="E184" s="4">
        <v>44166</v>
      </c>
    </row>
    <row r="185" spans="1:5" x14ac:dyDescent="0.3">
      <c r="A185">
        <v>1</v>
      </c>
      <c r="B185">
        <v>738711</v>
      </c>
      <c r="C185" t="s">
        <v>10</v>
      </c>
      <c r="D185">
        <v>549</v>
      </c>
      <c r="E185" s="4">
        <v>43709</v>
      </c>
    </row>
    <row r="186" spans="1:5" x14ac:dyDescent="0.3">
      <c r="A186">
        <v>1</v>
      </c>
      <c r="B186">
        <v>144696</v>
      </c>
      <c r="C186" t="s">
        <v>10</v>
      </c>
      <c r="D186">
        <v>912</v>
      </c>
      <c r="E186" s="4">
        <v>43770</v>
      </c>
    </row>
    <row r="187" spans="1:5" x14ac:dyDescent="0.3">
      <c r="A187">
        <v>1</v>
      </c>
      <c r="B187">
        <v>481324</v>
      </c>
      <c r="C187" t="s">
        <v>10</v>
      </c>
      <c r="D187">
        <v>2155</v>
      </c>
      <c r="E187" s="4">
        <v>44166</v>
      </c>
    </row>
    <row r="188" spans="1:5" x14ac:dyDescent="0.3">
      <c r="A188">
        <v>1</v>
      </c>
      <c r="B188">
        <v>234290</v>
      </c>
      <c r="C188" t="s">
        <v>10</v>
      </c>
      <c r="D188">
        <v>1142</v>
      </c>
      <c r="E188" s="4">
        <v>43983</v>
      </c>
    </row>
    <row r="189" spans="1:5" x14ac:dyDescent="0.3">
      <c r="A189">
        <v>1</v>
      </c>
      <c r="B189">
        <v>303687</v>
      </c>
      <c r="C189" t="s">
        <v>10</v>
      </c>
      <c r="D189">
        <v>1785</v>
      </c>
      <c r="E189" s="4">
        <v>43770</v>
      </c>
    </row>
    <row r="190" spans="1:5" x14ac:dyDescent="0.3">
      <c r="A190">
        <v>1</v>
      </c>
      <c r="B190">
        <v>780708</v>
      </c>
      <c r="C190" t="s">
        <v>10</v>
      </c>
      <c r="D190">
        <v>2013</v>
      </c>
      <c r="E190" s="4">
        <v>43800</v>
      </c>
    </row>
    <row r="191" spans="1:5" x14ac:dyDescent="0.3">
      <c r="A191">
        <v>1</v>
      </c>
      <c r="B191">
        <v>779279</v>
      </c>
      <c r="C191" t="s">
        <v>10</v>
      </c>
      <c r="D191">
        <v>1774</v>
      </c>
      <c r="E191" s="4">
        <v>43891</v>
      </c>
    </row>
    <row r="192" spans="1:5" x14ac:dyDescent="0.3">
      <c r="A192">
        <v>1</v>
      </c>
      <c r="B192">
        <v>296424</v>
      </c>
      <c r="C192" t="s">
        <v>10</v>
      </c>
      <c r="D192">
        <v>1901</v>
      </c>
      <c r="E192" s="4">
        <v>43983</v>
      </c>
    </row>
    <row r="193" spans="1:5" x14ac:dyDescent="0.3">
      <c r="A193">
        <v>1</v>
      </c>
      <c r="B193">
        <v>675075</v>
      </c>
      <c r="C193" t="s">
        <v>10</v>
      </c>
      <c r="D193">
        <v>1945</v>
      </c>
      <c r="E193" s="4">
        <v>43739</v>
      </c>
    </row>
    <row r="194" spans="1:5" x14ac:dyDescent="0.3">
      <c r="A194">
        <v>1</v>
      </c>
      <c r="B194">
        <v>141665</v>
      </c>
      <c r="C194" t="s">
        <v>10</v>
      </c>
      <c r="D194">
        <v>1760</v>
      </c>
      <c r="E194" s="4">
        <v>43709</v>
      </c>
    </row>
    <row r="195" spans="1:5" x14ac:dyDescent="0.3">
      <c r="A195">
        <v>1</v>
      </c>
      <c r="B195">
        <v>675035</v>
      </c>
      <c r="C195" t="s">
        <v>10</v>
      </c>
      <c r="D195">
        <v>218</v>
      </c>
      <c r="E195" s="4">
        <v>44075</v>
      </c>
    </row>
    <row r="196" spans="1:5" x14ac:dyDescent="0.3">
      <c r="A196">
        <v>1</v>
      </c>
      <c r="B196">
        <v>707858</v>
      </c>
      <c r="C196" t="s">
        <v>10</v>
      </c>
      <c r="D196">
        <v>671</v>
      </c>
      <c r="E196" s="4">
        <v>43739</v>
      </c>
    </row>
    <row r="197" spans="1:5" x14ac:dyDescent="0.3">
      <c r="A197">
        <v>1</v>
      </c>
      <c r="B197">
        <v>631270</v>
      </c>
      <c r="C197" t="s">
        <v>10</v>
      </c>
      <c r="D197">
        <v>1372</v>
      </c>
      <c r="E197" s="4">
        <v>43831</v>
      </c>
    </row>
    <row r="198" spans="1:5" x14ac:dyDescent="0.3">
      <c r="A198">
        <v>1</v>
      </c>
      <c r="B198">
        <v>218291</v>
      </c>
      <c r="C198" t="s">
        <v>10</v>
      </c>
      <c r="D198">
        <v>1607</v>
      </c>
      <c r="E198" s="4">
        <v>43922</v>
      </c>
    </row>
    <row r="199" spans="1:5" x14ac:dyDescent="0.3">
      <c r="A199">
        <v>1</v>
      </c>
      <c r="B199">
        <v>779126</v>
      </c>
      <c r="C199" t="s">
        <v>10</v>
      </c>
      <c r="D199">
        <v>2327</v>
      </c>
      <c r="E199" s="4">
        <v>43952</v>
      </c>
    </row>
    <row r="200" spans="1:5" x14ac:dyDescent="0.3">
      <c r="A200">
        <v>1</v>
      </c>
      <c r="B200">
        <v>852827</v>
      </c>
      <c r="C200" t="s">
        <v>10</v>
      </c>
      <c r="D200">
        <v>861</v>
      </c>
      <c r="E200" s="4">
        <v>44105</v>
      </c>
    </row>
    <row r="201" spans="1:5" x14ac:dyDescent="0.3">
      <c r="A201">
        <v>1</v>
      </c>
      <c r="B201">
        <v>567484</v>
      </c>
      <c r="C201" t="s">
        <v>10</v>
      </c>
      <c r="D201">
        <v>704</v>
      </c>
      <c r="E201" s="4">
        <v>43739</v>
      </c>
    </row>
    <row r="202" spans="1:5" x14ac:dyDescent="0.3">
      <c r="A202">
        <v>1</v>
      </c>
      <c r="B202">
        <v>636993</v>
      </c>
      <c r="C202" t="s">
        <v>10</v>
      </c>
      <c r="D202">
        <v>2116</v>
      </c>
      <c r="E202" s="4">
        <v>43800</v>
      </c>
    </row>
    <row r="203" spans="1:5" x14ac:dyDescent="0.3">
      <c r="A203">
        <v>1</v>
      </c>
      <c r="B203">
        <v>142979</v>
      </c>
      <c r="C203" t="s">
        <v>10</v>
      </c>
      <c r="D203">
        <v>1031</v>
      </c>
      <c r="E203" s="4">
        <v>43709</v>
      </c>
    </row>
    <row r="204" spans="1:5" x14ac:dyDescent="0.3">
      <c r="A204">
        <v>1</v>
      </c>
      <c r="B204">
        <v>283491</v>
      </c>
      <c r="C204" t="s">
        <v>10</v>
      </c>
      <c r="D204">
        <v>1702</v>
      </c>
      <c r="E204" s="4">
        <v>43952</v>
      </c>
    </row>
    <row r="205" spans="1:5" x14ac:dyDescent="0.3">
      <c r="A205">
        <v>1</v>
      </c>
      <c r="B205">
        <v>807061</v>
      </c>
      <c r="C205" t="s">
        <v>10</v>
      </c>
      <c r="D205">
        <v>448</v>
      </c>
      <c r="E205" s="4">
        <v>43983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2107-AFE9-4386-9C70-78323819C2A9}">
  <dimension ref="B3:G99"/>
  <sheetViews>
    <sheetView topLeftCell="A70" zoomScale="77" workbookViewId="0">
      <selection activeCell="B92" sqref="B92:C99"/>
    </sheetView>
  </sheetViews>
  <sheetFormatPr defaultRowHeight="14.4" x14ac:dyDescent="0.3"/>
  <cols>
    <col min="2" max="2" width="28.5546875" bestFit="1" customWidth="1"/>
    <col min="3" max="4" width="13" bestFit="1" customWidth="1"/>
    <col min="5" max="5" width="10" bestFit="1" customWidth="1"/>
    <col min="6" max="6" width="16" bestFit="1" customWidth="1"/>
  </cols>
  <sheetData>
    <row r="3" spans="2:7" x14ac:dyDescent="0.3">
      <c r="B3" t="s">
        <v>0</v>
      </c>
      <c r="D3" t="s">
        <v>1</v>
      </c>
      <c r="F3" t="s">
        <v>2</v>
      </c>
    </row>
    <row r="4" spans="2:7" x14ac:dyDescent="0.3">
      <c r="B4" s="3">
        <v>24</v>
      </c>
      <c r="D4" s="3">
        <v>67994797</v>
      </c>
      <c r="E4">
        <f>GETPIVOTDATA("[Measures].[Total Of Order]",$D$3)</f>
        <v>67994797</v>
      </c>
      <c r="F4" s="3">
        <v>233959.5</v>
      </c>
      <c r="G4">
        <f>GETPIVOTDATA("[Measures].[Total Of Unit Sold]",$F$3)</f>
        <v>233959.5</v>
      </c>
    </row>
    <row r="8" spans="2:7" x14ac:dyDescent="0.3">
      <c r="B8" s="1" t="s">
        <v>3</v>
      </c>
      <c r="C8" t="s">
        <v>1</v>
      </c>
    </row>
    <row r="9" spans="2:7" x14ac:dyDescent="0.3">
      <c r="B9" s="2" t="s">
        <v>4</v>
      </c>
      <c r="C9" s="3">
        <v>25935855</v>
      </c>
    </row>
    <row r="10" spans="2:7" x14ac:dyDescent="0.3">
      <c r="B10" s="2" t="s">
        <v>5</v>
      </c>
      <c r="C10" s="3">
        <v>12006986</v>
      </c>
    </row>
    <row r="11" spans="2:7" x14ac:dyDescent="0.3">
      <c r="B11" s="2" t="s">
        <v>7</v>
      </c>
      <c r="C11" s="3">
        <v>10525286</v>
      </c>
    </row>
    <row r="12" spans="2:7" x14ac:dyDescent="0.3">
      <c r="B12" s="2" t="s">
        <v>6</v>
      </c>
      <c r="C12" s="3">
        <v>10126577</v>
      </c>
    </row>
    <row r="13" spans="2:7" x14ac:dyDescent="0.3">
      <c r="B13" s="2" t="s">
        <v>8</v>
      </c>
      <c r="C13" s="3">
        <v>9400093</v>
      </c>
    </row>
    <row r="14" spans="2:7" x14ac:dyDescent="0.3">
      <c r="B14" s="2" t="s">
        <v>9</v>
      </c>
      <c r="C14" s="3">
        <v>67994797</v>
      </c>
    </row>
    <row r="19" spans="2:3" x14ac:dyDescent="0.3">
      <c r="B19" s="1" t="s">
        <v>3</v>
      </c>
      <c r="C19" t="s">
        <v>1</v>
      </c>
    </row>
    <row r="20" spans="2:3" x14ac:dyDescent="0.3">
      <c r="B20" s="2" t="s">
        <v>11</v>
      </c>
      <c r="C20" s="3">
        <v>7334922</v>
      </c>
    </row>
    <row r="21" spans="2:3" x14ac:dyDescent="0.3">
      <c r="B21" s="2" t="s">
        <v>12</v>
      </c>
      <c r="C21" s="3">
        <v>9583469</v>
      </c>
    </row>
    <row r="22" spans="2:3" x14ac:dyDescent="0.3">
      <c r="B22" s="2" t="s">
        <v>13</v>
      </c>
      <c r="C22" s="3">
        <v>10113555</v>
      </c>
    </row>
    <row r="23" spans="2:3" x14ac:dyDescent="0.3">
      <c r="B23" s="2" t="s">
        <v>15</v>
      </c>
      <c r="C23" s="3">
        <v>10831956</v>
      </c>
    </row>
    <row r="24" spans="2:3" x14ac:dyDescent="0.3">
      <c r="B24" s="2" t="s">
        <v>14</v>
      </c>
      <c r="C24" s="3">
        <v>10902851</v>
      </c>
    </row>
    <row r="25" spans="2:3" x14ac:dyDescent="0.3">
      <c r="B25" s="2" t="s">
        <v>10</v>
      </c>
      <c r="C25" s="3">
        <v>19228044</v>
      </c>
    </row>
    <row r="26" spans="2:3" x14ac:dyDescent="0.3">
      <c r="B26" s="2" t="s">
        <v>9</v>
      </c>
      <c r="C26" s="3">
        <v>67994797</v>
      </c>
    </row>
    <row r="30" spans="2:3" x14ac:dyDescent="0.3">
      <c r="B30" s="1" t="s">
        <v>3</v>
      </c>
      <c r="C30" t="s">
        <v>1</v>
      </c>
    </row>
    <row r="31" spans="2:3" x14ac:dyDescent="0.3">
      <c r="B31" s="2" t="s">
        <v>15</v>
      </c>
      <c r="C31" s="3">
        <v>10831956</v>
      </c>
    </row>
    <row r="32" spans="2:3" x14ac:dyDescent="0.3">
      <c r="B32" s="2" t="s">
        <v>14</v>
      </c>
      <c r="C32" s="3">
        <v>10902851</v>
      </c>
    </row>
    <row r="33" spans="2:6" x14ac:dyDescent="0.3">
      <c r="B33" s="2" t="s">
        <v>13</v>
      </c>
      <c r="C33" s="3">
        <v>10113555</v>
      </c>
    </row>
    <row r="34" spans="2:6" x14ac:dyDescent="0.3">
      <c r="B34" s="2" t="s">
        <v>12</v>
      </c>
      <c r="C34" s="3">
        <v>9583469</v>
      </c>
    </row>
    <row r="35" spans="2:6" x14ac:dyDescent="0.3">
      <c r="B35" s="2" t="s">
        <v>11</v>
      </c>
      <c r="C35" s="3">
        <v>7334922</v>
      </c>
    </row>
    <row r="36" spans="2:6" x14ac:dyDescent="0.3">
      <c r="B36" s="2" t="s">
        <v>10</v>
      </c>
      <c r="C36" s="3">
        <v>19228044</v>
      </c>
    </row>
    <row r="37" spans="2:6" x14ac:dyDescent="0.3">
      <c r="B37" s="2" t="s">
        <v>9</v>
      </c>
      <c r="C37" s="3">
        <v>67994797</v>
      </c>
    </row>
    <row r="42" spans="2:6" x14ac:dyDescent="0.3">
      <c r="B42" s="1" t="s">
        <v>3</v>
      </c>
      <c r="C42" t="s">
        <v>16</v>
      </c>
      <c r="E42" s="2" t="s">
        <v>4</v>
      </c>
      <c r="F42" s="3">
        <v>1</v>
      </c>
    </row>
    <row r="43" spans="2:6" x14ac:dyDescent="0.3">
      <c r="B43" s="2" t="s">
        <v>4</v>
      </c>
      <c r="C43" s="3">
        <v>1</v>
      </c>
      <c r="E43" s="2" t="s">
        <v>5</v>
      </c>
      <c r="F43" s="3">
        <v>1</v>
      </c>
    </row>
    <row r="44" spans="2:6" x14ac:dyDescent="0.3">
      <c r="B44" s="2" t="s">
        <v>5</v>
      </c>
      <c r="C44" s="3">
        <v>1</v>
      </c>
      <c r="E44" s="2" t="s">
        <v>6</v>
      </c>
      <c r="F44" s="3">
        <v>1</v>
      </c>
    </row>
    <row r="45" spans="2:6" x14ac:dyDescent="0.3">
      <c r="B45" s="2" t="s">
        <v>6</v>
      </c>
      <c r="C45" s="3">
        <v>1</v>
      </c>
      <c r="E45" s="2" t="s">
        <v>7</v>
      </c>
      <c r="F45" s="3">
        <v>1</v>
      </c>
    </row>
    <row r="46" spans="2:6" x14ac:dyDescent="0.3">
      <c r="B46" s="2" t="s">
        <v>7</v>
      </c>
      <c r="C46" s="3">
        <v>1</v>
      </c>
      <c r="E46" s="2" t="s">
        <v>8</v>
      </c>
      <c r="F46" s="3">
        <v>1</v>
      </c>
    </row>
    <row r="47" spans="2:6" x14ac:dyDescent="0.3">
      <c r="B47" s="2" t="s">
        <v>8</v>
      </c>
      <c r="C47" s="3">
        <v>1</v>
      </c>
    </row>
    <row r="48" spans="2:6" x14ac:dyDescent="0.3">
      <c r="B48" s="2" t="s">
        <v>9</v>
      </c>
      <c r="C48" s="3">
        <v>5</v>
      </c>
    </row>
    <row r="52" spans="2:3" x14ac:dyDescent="0.3">
      <c r="B52" s="1" t="s">
        <v>3</v>
      </c>
      <c r="C52" t="s">
        <v>16</v>
      </c>
    </row>
    <row r="53" spans="2:3" x14ac:dyDescent="0.3">
      <c r="B53" s="2" t="s">
        <v>12</v>
      </c>
      <c r="C53" s="3">
        <v>18</v>
      </c>
    </row>
    <row r="54" spans="2:3" x14ac:dyDescent="0.3">
      <c r="B54" s="2" t="s">
        <v>13</v>
      </c>
      <c r="C54" s="3">
        <v>19</v>
      </c>
    </row>
    <row r="55" spans="2:3" x14ac:dyDescent="0.3">
      <c r="B55" s="2" t="s">
        <v>11</v>
      </c>
      <c r="C55" s="3">
        <v>19</v>
      </c>
    </row>
    <row r="56" spans="2:3" x14ac:dyDescent="0.3">
      <c r="B56" s="2" t="s">
        <v>14</v>
      </c>
      <c r="C56" s="3">
        <v>22</v>
      </c>
    </row>
    <row r="57" spans="2:3" x14ac:dyDescent="0.3">
      <c r="B57" s="2" t="s">
        <v>15</v>
      </c>
      <c r="C57" s="3">
        <v>22</v>
      </c>
    </row>
    <row r="58" spans="2:3" x14ac:dyDescent="0.3">
      <c r="B58" s="2" t="s">
        <v>10</v>
      </c>
      <c r="C58" s="3">
        <v>40</v>
      </c>
    </row>
    <row r="59" spans="2:3" x14ac:dyDescent="0.3">
      <c r="B59" s="2" t="s">
        <v>9</v>
      </c>
      <c r="C59" s="3">
        <v>140</v>
      </c>
    </row>
    <row r="66" spans="2:3" x14ac:dyDescent="0.3">
      <c r="B66" s="1" t="s">
        <v>3</v>
      </c>
      <c r="C66" t="s">
        <v>2</v>
      </c>
    </row>
    <row r="67" spans="2:3" x14ac:dyDescent="0.3">
      <c r="B67" s="2" t="s">
        <v>10</v>
      </c>
      <c r="C67" s="3">
        <v>64668</v>
      </c>
    </row>
    <row r="68" spans="2:3" x14ac:dyDescent="0.3">
      <c r="B68" s="2" t="s">
        <v>11</v>
      </c>
      <c r="C68" s="3">
        <v>32424.5</v>
      </c>
    </row>
    <row r="69" spans="2:3" x14ac:dyDescent="0.3">
      <c r="B69" s="2" t="s">
        <v>12</v>
      </c>
      <c r="C69" s="3">
        <v>34989</v>
      </c>
    </row>
    <row r="70" spans="2:3" x14ac:dyDescent="0.3">
      <c r="B70" s="2" t="s">
        <v>13</v>
      </c>
      <c r="C70" s="3">
        <v>33445.5</v>
      </c>
    </row>
    <row r="71" spans="2:3" x14ac:dyDescent="0.3">
      <c r="B71" s="2" t="s">
        <v>14</v>
      </c>
      <c r="C71" s="3">
        <v>33006</v>
      </c>
    </row>
    <row r="72" spans="2:3" x14ac:dyDescent="0.3">
      <c r="B72" s="2" t="s">
        <v>15</v>
      </c>
      <c r="C72" s="3">
        <v>35426.5</v>
      </c>
    </row>
    <row r="73" spans="2:3" x14ac:dyDescent="0.3">
      <c r="B73" s="2" t="s">
        <v>9</v>
      </c>
      <c r="C73" s="3">
        <v>233959.5</v>
      </c>
    </row>
    <row r="76" spans="2:3" ht="3.6" customHeight="1" x14ac:dyDescent="0.3"/>
    <row r="77" spans="2:3" hidden="1" x14ac:dyDescent="0.3"/>
    <row r="78" spans="2:3" x14ac:dyDescent="0.3">
      <c r="B78" s="1" t="s">
        <v>3</v>
      </c>
      <c r="C78" t="s">
        <v>2</v>
      </c>
    </row>
    <row r="79" spans="2:3" x14ac:dyDescent="0.3">
      <c r="B79" s="2" t="s">
        <v>4</v>
      </c>
      <c r="C79" s="3">
        <v>81873.5</v>
      </c>
    </row>
    <row r="80" spans="2:3" x14ac:dyDescent="0.3">
      <c r="B80" s="2" t="s">
        <v>5</v>
      </c>
      <c r="C80" s="3">
        <v>48461.5</v>
      </c>
    </row>
    <row r="81" spans="2:3" x14ac:dyDescent="0.3">
      <c r="B81" s="2" t="s">
        <v>7</v>
      </c>
      <c r="C81" s="3">
        <v>46828</v>
      </c>
    </row>
    <row r="82" spans="2:3" x14ac:dyDescent="0.3">
      <c r="B82" s="2" t="s">
        <v>6</v>
      </c>
      <c r="C82" s="3">
        <v>29309.5</v>
      </c>
    </row>
    <row r="83" spans="2:3" x14ac:dyDescent="0.3">
      <c r="B83" s="2" t="s">
        <v>8</v>
      </c>
      <c r="C83" s="3">
        <v>27487</v>
      </c>
    </row>
    <row r="84" spans="2:3" x14ac:dyDescent="0.3">
      <c r="B84" s="2" t="s">
        <v>9</v>
      </c>
      <c r="C84" s="3">
        <v>233959.5</v>
      </c>
    </row>
    <row r="92" spans="2:3" x14ac:dyDescent="0.3">
      <c r="B92" s="1" t="s">
        <v>3</v>
      </c>
      <c r="C92" t="s">
        <v>16</v>
      </c>
    </row>
    <row r="93" spans="2:3" x14ac:dyDescent="0.3">
      <c r="B93" s="2" t="s">
        <v>15</v>
      </c>
      <c r="C93" s="3">
        <v>22</v>
      </c>
    </row>
    <row r="94" spans="2:3" x14ac:dyDescent="0.3">
      <c r="B94" s="2" t="s">
        <v>14</v>
      </c>
      <c r="C94" s="3">
        <v>22</v>
      </c>
    </row>
    <row r="95" spans="2:3" x14ac:dyDescent="0.3">
      <c r="B95" s="2" t="s">
        <v>13</v>
      </c>
      <c r="C95" s="3">
        <v>19</v>
      </c>
    </row>
    <row r="96" spans="2:3" x14ac:dyDescent="0.3">
      <c r="B96" s="2" t="s">
        <v>12</v>
      </c>
      <c r="C96" s="3">
        <v>18</v>
      </c>
    </row>
    <row r="97" spans="2:3" x14ac:dyDescent="0.3">
      <c r="B97" s="2" t="s">
        <v>11</v>
      </c>
      <c r="C97" s="3">
        <v>19</v>
      </c>
    </row>
    <row r="98" spans="2:3" x14ac:dyDescent="0.3">
      <c r="B98" s="2" t="s">
        <v>10</v>
      </c>
      <c r="C98" s="3">
        <v>40</v>
      </c>
    </row>
    <row r="99" spans="2:3" x14ac:dyDescent="0.3">
      <c r="B99" s="2" t="s">
        <v>9</v>
      </c>
      <c r="C99" s="3">
        <v>140</v>
      </c>
    </row>
  </sheetData>
  <pageMargins left="0.7" right="0.7" top="0.75" bottom="0.75" header="0.3" footer="0.3"/>
  <drawing r:id="rId12"/>
  <extLst>
    <ext xmlns:x15="http://schemas.microsoft.com/office/spreadsheetml/2010/11/main" uri="{7E03D99C-DC04-49d9-9315-930204A7B6E9}">
      <x15:timelineRefs>
        <x15:timelineRef r:id="rId1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6608-66FC-4E25-B874-36EF935F0EE0}">
  <dimension ref="A1"/>
  <sheetViews>
    <sheetView tabSelected="1" topLeftCell="C3" zoomScale="96" workbookViewId="0"/>
  </sheetViews>
  <sheetFormatPr defaultRowHeight="14.4" x14ac:dyDescent="0.3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D42457CA-3A79-4F99-B1D3-56E4CB75032E}">
  <ds:schemaRefs/>
</ds:datastoreItem>
</file>

<file path=customXml/itemProps2.xml><?xml version="1.0" encoding="utf-8"?>
<ds:datastoreItem xmlns:ds="http://schemas.openxmlformats.org/officeDocument/2006/customXml" ds:itemID="{2E5AEBD1-3096-4657-AAD6-BB0A4040474F}">
  <ds:schemaRefs/>
</ds:datastoreItem>
</file>

<file path=customXml/itemProps3.xml><?xml version="1.0" encoding="utf-8"?>
<ds:datastoreItem xmlns:ds="http://schemas.openxmlformats.org/officeDocument/2006/customXml" ds:itemID="{6C4868FB-E1E5-4C25-9A64-AB8480CBEAAE}">
  <ds:schemaRefs/>
</ds:datastoreItem>
</file>

<file path=customXml/itemProps4.xml><?xml version="1.0" encoding="utf-8"?>
<ds:datastoreItem xmlns:ds="http://schemas.openxmlformats.org/officeDocument/2006/customXml" ds:itemID="{81B7F451-EDBB-45C5-B320-52BF86CCEABD}">
  <ds:schemaRefs/>
</ds:datastoreItem>
</file>

<file path=customXml/itemProps5.xml><?xml version="1.0" encoding="utf-8"?>
<ds:datastoreItem xmlns:ds="http://schemas.openxmlformats.org/officeDocument/2006/customXml" ds:itemID="{1159DE67-E33B-499A-B964-CD4B38470FA5}">
  <ds:schemaRefs/>
</ds:datastoreItem>
</file>

<file path=customXml/itemProps6.xml><?xml version="1.0" encoding="utf-8"?>
<ds:datastoreItem xmlns:ds="http://schemas.openxmlformats.org/officeDocument/2006/customXml" ds:itemID="{9553D245-04D3-441B-8D74-1B6116D9EC3E}">
  <ds:schemaRefs/>
</ds:datastoreItem>
</file>

<file path=customXml/itemProps7.xml><?xml version="1.0" encoding="utf-8"?>
<ds:datastoreItem xmlns:ds="http://schemas.openxmlformats.org/officeDocument/2006/customXml" ds:itemID="{C043CB71-ADCD-4E48-8C83-33EECFB14128}">
  <ds:schemaRefs/>
</ds:datastoreItem>
</file>

<file path=customXml/itemProps8.xml><?xml version="1.0" encoding="utf-8"?>
<ds:datastoreItem xmlns:ds="http://schemas.openxmlformats.org/officeDocument/2006/customXml" ds:itemID="{C802B718-57B3-43E6-AB41-00E3887B3E45}">
  <ds:schemaRefs/>
</ds:datastoreItem>
</file>

<file path=customXml/itemProps9.xml><?xml version="1.0" encoding="utf-8"?>
<ds:datastoreItem xmlns:ds="http://schemas.openxmlformats.org/officeDocument/2006/customXml" ds:itemID="{70D91ED1-AFB2-4C2E-B61D-0079908A8A20}">
  <ds:schemaRefs/>
</ds:datastoreItem>
</file>

<file path=customXml/itemProps10.xml><?xml version="1.0" encoding="utf-8"?>
<ds:datastoreItem xmlns:ds="http://schemas.openxmlformats.org/officeDocument/2006/customXml" ds:itemID="{79663060-00C3-4BDC-B67D-2F936BC387C4}">
  <ds:schemaRefs/>
</ds:datastoreItem>
</file>

<file path=customXml/itemProps11.xml><?xml version="1.0" encoding="utf-8"?>
<ds:datastoreItem xmlns:ds="http://schemas.openxmlformats.org/officeDocument/2006/customXml" ds:itemID="{3A9BCC13-0845-4C22-B3B8-9E9D55F2740A}">
  <ds:schemaRefs/>
</ds:datastoreItem>
</file>

<file path=customXml/itemProps12.xml><?xml version="1.0" encoding="utf-8"?>
<ds:datastoreItem xmlns:ds="http://schemas.openxmlformats.org/officeDocument/2006/customXml" ds:itemID="{C06D9EC6-A2B8-4CBD-B654-E01689F9D084}">
  <ds:schemaRefs/>
</ds:datastoreItem>
</file>

<file path=customXml/itemProps13.xml><?xml version="1.0" encoding="utf-8"?>
<ds:datastoreItem xmlns:ds="http://schemas.openxmlformats.org/officeDocument/2006/customXml" ds:itemID="{F3FFE2D4-B542-4E61-9409-906A3359E179}">
  <ds:schemaRefs/>
</ds:datastoreItem>
</file>

<file path=customXml/itemProps14.xml><?xml version="1.0" encoding="utf-8"?>
<ds:datastoreItem xmlns:ds="http://schemas.openxmlformats.org/officeDocument/2006/customXml" ds:itemID="{78ACBE30-1F1F-4D87-A79F-2E213CD8F694}">
  <ds:schemaRefs/>
</ds:datastoreItem>
</file>

<file path=customXml/itemProps15.xml><?xml version="1.0" encoding="utf-8"?>
<ds:datastoreItem xmlns:ds="http://schemas.openxmlformats.org/officeDocument/2006/customXml" ds:itemID="{4B268ED2-B5C1-4709-82C8-92C80B675E7B}">
  <ds:schemaRefs/>
</ds:datastoreItem>
</file>

<file path=customXml/itemProps16.xml><?xml version="1.0" encoding="utf-8"?>
<ds:datastoreItem xmlns:ds="http://schemas.openxmlformats.org/officeDocument/2006/customXml" ds:itemID="{1A1A85B0-46F2-42BA-B82F-16C3F8945742}">
  <ds:schemaRefs/>
</ds:datastoreItem>
</file>

<file path=customXml/itemProps17.xml><?xml version="1.0" encoding="utf-8"?>
<ds:datastoreItem xmlns:ds="http://schemas.openxmlformats.org/officeDocument/2006/customXml" ds:itemID="{AA2C0379-F081-4952-BF49-083768603D31}">
  <ds:schemaRefs/>
</ds:datastoreItem>
</file>

<file path=customXml/itemProps18.xml><?xml version="1.0" encoding="utf-8"?>
<ds:datastoreItem xmlns:ds="http://schemas.openxmlformats.org/officeDocument/2006/customXml" ds:itemID="{F4EBF051-1D69-4CD8-BE41-985FC3F6E492}">
  <ds:schemaRefs/>
</ds:datastoreItem>
</file>

<file path=customXml/itemProps19.xml><?xml version="1.0" encoding="utf-8"?>
<ds:datastoreItem xmlns:ds="http://schemas.openxmlformats.org/officeDocument/2006/customXml" ds:itemID="{EB209E9B-DD6F-4664-9D03-0FE537D7CF7D}">
  <ds:schemaRefs/>
</ds:datastoreItem>
</file>

<file path=customXml/itemProps20.xml><?xml version="1.0" encoding="utf-8"?>
<ds:datastoreItem xmlns:ds="http://schemas.openxmlformats.org/officeDocument/2006/customXml" ds:itemID="{7E5E27C1-A287-4AB8-8DAD-39283B2EBD05}">
  <ds:schemaRefs/>
</ds:datastoreItem>
</file>

<file path=customXml/itemProps21.xml><?xml version="1.0" encoding="utf-8"?>
<ds:datastoreItem xmlns:ds="http://schemas.openxmlformats.org/officeDocument/2006/customXml" ds:itemID="{DC80C554-A4D4-40BC-B9DE-99D73B29BE62}">
  <ds:schemaRefs/>
</ds:datastoreItem>
</file>

<file path=customXml/itemProps22.xml><?xml version="1.0" encoding="utf-8"?>
<ds:datastoreItem xmlns:ds="http://schemas.openxmlformats.org/officeDocument/2006/customXml" ds:itemID="{DA021191-C390-4BF2-86E6-E1CEDEF704A7}">
  <ds:schemaRefs/>
</ds:datastoreItem>
</file>

<file path=customXml/itemProps23.xml><?xml version="1.0" encoding="utf-8"?>
<ds:datastoreItem xmlns:ds="http://schemas.openxmlformats.org/officeDocument/2006/customXml" ds:itemID="{3BB279FC-EC61-4D28-938A-D913CEBF1DD2}">
  <ds:schemaRefs/>
</ds:datastoreItem>
</file>

<file path=customXml/itemProps24.xml><?xml version="1.0" encoding="utf-8"?>
<ds:datastoreItem xmlns:ds="http://schemas.openxmlformats.org/officeDocument/2006/customXml" ds:itemID="{7114F3F0-45FD-42CE-887D-3AAA667E69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Elseheely</dc:creator>
  <cp:lastModifiedBy>Moataz Elseheely</cp:lastModifiedBy>
  <dcterms:created xsi:type="dcterms:W3CDTF">2026-09-23T16:28:03Z</dcterms:created>
  <dcterms:modified xsi:type="dcterms:W3CDTF">2026-09-24T15:45:18Z</dcterms:modified>
</cp:coreProperties>
</file>